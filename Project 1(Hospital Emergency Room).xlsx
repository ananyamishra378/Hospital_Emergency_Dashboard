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nany\Desktop\Projects\"/>
    </mc:Choice>
  </mc:AlternateContent>
  <xr:revisionPtr revIDLastSave="0" documentId="13_ncr:1_{BF624ED9-9EAD-423E-91D8-4AF98F491123}" xr6:coauthVersionLast="47" xr6:coauthVersionMax="47" xr10:uidLastSave="{00000000-0000-0000-0000-000000000000}"/>
  <bookViews>
    <workbookView xWindow="-108" yWindow="-108" windowWidth="23256" windowHeight="12456" firstSheet="1" activeTab="4" xr2:uid="{6B24D377-328C-4538-8E89-CD5D2DAA951C}"/>
  </bookViews>
  <sheets>
    <sheet name="Pivot Report" sheetId="1" r:id="rId1"/>
    <sheet name="Dashboard" sheetId="2" r:id="rId2"/>
    <sheet name="Avg Wait Time Daily Trend" sheetId="4" r:id="rId3"/>
    <sheet name="Daily ER No. Of Patients" sheetId="3" r:id="rId4"/>
    <sheet name="Satisfaction Daily Trend"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80ffcdd-3623-4a11-b23b-59b8ae5ce3b5" name="Hospital Emergency Room Data" connection="Query - Hospital Emergency Room Data"/>
          <x15:modelTable id="Calendar Table_5d1a4b11-8d15-4e1a-9fdb-21ca293c8dd3" name="Calendar Table" connection="Query - Calendar Table"/>
        </x15:modelTables>
        <x15:modelRelationships>
          <x15:modelRelationship fromTable="Hospital Emergency Room Data" fromColumn="Patient Admission Date" toTable="Calendar Table" toColumn="Date"/>
        </x15:modelRelationships>
        <x15:extLst>
          <ext xmlns:x16="http://schemas.microsoft.com/office/spreadsheetml/2014/11/main" uri="{9835A34E-60A6-4A7C-AAB8-D5F71C897F49}">
            <x16:modelTimeGroupings>
              <x16:modelTimeGrouping tableName="Calenda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7" i="1" l="1"/>
  <c r="C47" i="1"/>
  <c r="B46" i="1"/>
  <c r="C46" i="1"/>
  <c r="A47" i="1"/>
  <c r="A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5931A0-29F7-4551-8F51-C8FF75861CF1}" name="Query - Calendar Table" description="Connection to the 'Calendar Table' query in the workbook." type="100" refreshedVersion="8" minRefreshableVersion="5">
    <extLst>
      <ext xmlns:x15="http://schemas.microsoft.com/office/spreadsheetml/2010/11/main" uri="{DE250136-89BD-433C-8126-D09CA5730AF9}">
        <x15:connection id="ab8da16e-4d3b-4550-8155-95660e13fd57"/>
      </ext>
    </extLst>
  </connection>
  <connection id="2" xr16:uid="{567610A7-F4A7-4468-B16F-D0081E98C45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c6d7608-cd01-4d94-931b-32a00bdbc5c7"/>
      </ext>
    </extLst>
  </connection>
  <connection id="3" xr16:uid="{F67FB84B-6C43-4921-B4CF-3594479348A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<sst xmlns="http://schemas.openxmlformats.org/spreadsheetml/2006/main" count="153" uniqueCount="73">
  <si>
    <t>Count of Patient Id</t>
  </si>
  <si>
    <t>Distinct Count of Patient Id</t>
  </si>
  <si>
    <t>No. Of Patient</t>
  </si>
  <si>
    <t>Average of Patient Waittime</t>
  </si>
  <si>
    <t>Average of Patient Satisfaction Score</t>
  </si>
  <si>
    <t>Row Labels</t>
  </si>
  <si>
    <t>Grand Total</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</si>
  <si>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</si>
  <si>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</si>
  <si>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</si>
  <si>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</si>
  <si>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</si>
  <si>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</si>
  <si>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</si>
  <si>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</si>
  <si>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</si>
  <si>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</si>
  <si>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</si>
  <si>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</si>
  <si>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</si>
  <si>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</si>
  <si>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</si>
  <si>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</si>
  <si>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</si>
  <si>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</si>
  <si>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</si>
  <si>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</si>
  <si>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</si>
  <si>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</si>
  <si>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</si>
  <si>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</si>
  <si>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</si>
  <si>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</si>
  <si>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</si>
  <si>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</si>
  <si>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</si>
  <si>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</si>
  <si>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</si>
  <si>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DAILY TRENDS OF NO. OF PATIENTS</t>
  </si>
  <si>
    <t>AVG WAIT TIME</t>
  </si>
  <si>
    <t>SATISFACTION DAILY TREND</t>
  </si>
  <si>
    <t>Count of Patient Admission Flag</t>
  </si>
  <si>
    <t>Admitted</t>
  </si>
  <si>
    <t>Not Admitted</t>
  </si>
  <si>
    <t>Count of Patient Admission Flag2</t>
  </si>
  <si>
    <t xml:space="preserve">Admission Status </t>
  </si>
  <si>
    <t>%Status</t>
  </si>
  <si>
    <t>Count of Age Group</t>
  </si>
  <si>
    <t>0-09</t>
  </si>
  <si>
    <t>10-19</t>
  </si>
  <si>
    <t>20-29</t>
  </si>
  <si>
    <t>30-39</t>
  </si>
  <si>
    <t>40-49</t>
  </si>
  <si>
    <t>50-59</t>
  </si>
  <si>
    <t>60-69</t>
  </si>
  <si>
    <t>70-79</t>
  </si>
  <si>
    <t xml:space="preserve">AGE GROUP WISE </t>
  </si>
  <si>
    <t>Delay</t>
  </si>
  <si>
    <t>Ontime</t>
  </si>
  <si>
    <t>Attended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</si>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</sst>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name val="Calibri"/>
      <family val="2"/>
      <scheme val="minor"/>
    </font>
    <font>
      <sz val="11"/>
      <color theme="0"/>
      <name val="Calibri"/>
      <family val="2"/>
      <scheme val="minor"/>
    </font>
    <font>
      <sz val="12"/>
      <color theme="1"/>
      <name val="Calibri"/>
      <family val="2"/>
      <scheme val="minor"/>
    </font>
    <font>
      <sz val="9"/>
      <color theme="0"/>
      <name val="Calibri"/>
      <family val="2"/>
      <scheme val="minor"/>
    </font>
    <font>
      <sz val="8"/>
      <color theme="1"/>
      <name val="Calibri"/>
      <family val="2"/>
      <scheme val="minor"/>
    </font>
  </fonts>
  <fills count="6">
    <fill>
      <patternFill patternType="none"/>
    </fill>
    <fill>
      <patternFill patternType="gray125"/>
    </fill>
    <fill>
      <patternFill patternType="solid">
        <fgColor theme="1" tint="0.14999847407452621"/>
        <bgColor indexed="64"/>
      </patternFill>
    </fill>
    <fill>
      <patternFill patternType="solid">
        <fgColor theme="4"/>
        <bgColor indexed="64"/>
      </patternFill>
    </fill>
    <fill>
      <patternFill patternType="solid">
        <fgColor theme="0" tint="-4.9989318521683403E-2"/>
        <bgColor indexed="64"/>
      </patternFill>
    </fill>
    <fill>
      <patternFill patternType="solid">
        <fgColor theme="9"/>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3" fillId="3" borderId="0" xfId="0" applyFont="1" applyFill="1"/>
    <xf numFmtId="0" fontId="0" fillId="3" borderId="0" xfId="0" applyFill="1"/>
    <xf numFmtId="10" fontId="0" fillId="0" borderId="0" xfId="0" applyNumberFormat="1"/>
    <xf numFmtId="0" fontId="0" fillId="4" borderId="0" xfId="0" applyFill="1"/>
    <xf numFmtId="0" fontId="5" fillId="4" borderId="0" xfId="0" applyFont="1" applyFill="1"/>
    <xf numFmtId="0" fontId="5" fillId="4" borderId="0" xfId="0" applyFont="1" applyFill="1" applyAlignment="1">
      <alignment horizontal="center"/>
    </xf>
    <xf numFmtId="9" fontId="5" fillId="4" borderId="0" xfId="1" applyFont="1" applyFill="1" applyAlignment="1">
      <alignment horizontal="center"/>
    </xf>
    <xf numFmtId="9" fontId="5" fillId="4" borderId="0" xfId="1" applyFont="1" applyFill="1"/>
    <xf numFmtId="0" fontId="5" fillId="4" borderId="0" xfId="1" applyNumberFormat="1" applyFont="1" applyFill="1" applyAlignment="1">
      <alignment horizontal="center"/>
    </xf>
    <xf numFmtId="1" fontId="0" fillId="0" borderId="0" xfId="0" applyNumberFormat="1"/>
    <xf numFmtId="0" fontId="4" fillId="5" borderId="0" xfId="0" applyFont="1" applyFill="1" applyAlignment="1">
      <alignment horizontal="left"/>
    </xf>
    <xf numFmtId="0" fontId="4" fillId="5" borderId="0" xfId="0" applyFont="1" applyFill="1"/>
    <xf numFmtId="0" fontId="2" fillId="5" borderId="0" xfId="0" applyFont="1" applyFill="1"/>
  </cellXfs>
  <cellStyles count="2">
    <cellStyle name="Normal" xfId="0" builtinId="0"/>
    <cellStyle name="Percent" xfId="1" builtinId="5"/>
  </cellStyles>
  <dxfs count="12">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1" formatCode="0"/>
    </dxf>
    <dxf>
      <font>
        <b/>
        <color theme="1"/>
      </font>
      <border>
        <bottom style="thin">
          <color theme="9"/>
        </bottom>
        <vertical/>
        <horizontal/>
      </border>
    </dxf>
    <dxf>
      <font>
        <sz val="8"/>
        <color theme="1"/>
      </font>
      <fill>
        <patternFill>
          <bgColor theme="0"/>
        </patternFill>
      </fill>
      <border diagonalUp="0" diagonalDown="0">
        <left/>
        <right/>
        <top/>
        <bottom/>
        <vertical/>
        <horizontal/>
      </border>
    </dxf>
  </dxfs>
  <tableStyles count="1" defaultTableStyle="TableStyleMedium2" defaultPivotStyle="PivotStyleLight16">
    <tableStyle name="MYSTYLE" pivot="0" table="0" count="10" xr9:uid="{205ED762-7122-4895-8FF3-E49C000F1FBE}">
      <tableStyleElement type="wholeTable" dxfId="11"/>
      <tableStyleElement type="headerRow" dxfId="10"/>
    </tableStyle>
  </tableStyles>
  <colors>
    <mruColors>
      <color rgb="FF938781"/>
      <color rgb="FF1F775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1(Hospital Emergency Room).xlsx]Pivot Report!PivotTable8</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1309DF95-5CD1-48E0-A0A4-4FC39FA9DDFA}" type="CELLRANGE">
                  <a:rPr lang="en-US"/>
                  <a:pPr>
                    <a:defRPr sz="5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5185D9B2-50C6-4976-A324-6E5BC6CC1239}" type="CELLRANGE">
                  <a:rPr lang="en-US"/>
                  <a:pPr>
                    <a:defRPr sz="5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4.5668102594688544E-2"/>
          <c:y val="0.23333383440813879"/>
          <c:w val="0.87449740577741653"/>
          <c:h val="0.53333233118372236"/>
        </c:manualLayout>
      </c:layout>
      <c:barChart>
        <c:barDir val="bar"/>
        <c:grouping val="clustered"/>
        <c:varyColors val="0"/>
        <c:ser>
          <c:idx val="0"/>
          <c:order val="0"/>
          <c:tx>
            <c:strRef>
              <c:f>'Pivot Report'!$C$41:$C$42</c:f>
              <c:strCache>
                <c:ptCount val="1"/>
                <c:pt idx="0">
                  <c:v>Count of Patient Admission Flag</c:v>
                </c:pt>
              </c:strCache>
            </c:strRef>
          </c:tx>
          <c:spPr>
            <a:solidFill>
              <a:schemeClr val="accent6">
                <a:tint val="77000"/>
              </a:schemeClr>
            </a:solidFill>
            <a:ln>
              <a:noFill/>
            </a:ln>
            <a:effectLst/>
          </c:spPr>
          <c:invertIfNegative val="0"/>
          <c:dPt>
            <c:idx val="0"/>
            <c:invertIfNegative val="0"/>
            <c:bubble3D val="0"/>
            <c:extLst>
              <c:ext xmlns:c16="http://schemas.microsoft.com/office/drawing/2014/chart" uri="{C3380CC4-5D6E-409C-BE32-E72D297353CC}">
                <c16:uniqueId val="{00000003-0312-4A37-9FF6-DE4894C721AB}"/>
              </c:ext>
            </c:extLst>
          </c:dPt>
          <c:dPt>
            <c:idx val="1"/>
            <c:invertIfNegative val="0"/>
            <c:bubble3D val="0"/>
            <c:extLst>
              <c:ext xmlns:c16="http://schemas.microsoft.com/office/drawing/2014/chart" uri="{C3380CC4-5D6E-409C-BE32-E72D297353CC}">
                <c16:uniqueId val="{00000004-0312-4A37-9FF6-DE4894C721AB}"/>
              </c:ext>
            </c:extLst>
          </c:dPt>
          <c:dLbls>
            <c:dLbl>
              <c:idx val="0"/>
              <c:tx>
                <c:rich>
                  <a:bodyPr/>
                  <a:lstStyle/>
                  <a:p>
                    <a:fld id="{1309DF95-5CD1-48E0-A0A4-4FC39FA9DDF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312-4A37-9FF6-DE4894C721AB}"/>
                </c:ext>
              </c:extLst>
            </c:dLbl>
            <c:dLbl>
              <c:idx val="1"/>
              <c:tx>
                <c:rich>
                  <a:bodyPr/>
                  <a:lstStyle/>
                  <a:p>
                    <a:fld id="{5185D9B2-50C6-4976-A324-6E5BC6CC123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312-4A37-9FF6-DE4894C721AB}"/>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Report'!$C$41:$C$42</c:f>
              <c:strCache>
                <c:ptCount val="2"/>
                <c:pt idx="0">
                  <c:v>Admitted</c:v>
                </c:pt>
                <c:pt idx="1">
                  <c:v>Not Admitted</c:v>
                </c:pt>
              </c:strCache>
            </c:strRef>
          </c:cat>
          <c:val>
            <c:numRef>
              <c:f>'Pivot Report'!$C$41:$C$42</c:f>
              <c:numCache>
                <c:formatCode>0.00</c:formatCode>
                <c:ptCount val="2"/>
                <c:pt idx="0">
                  <c:v>502</c:v>
                </c:pt>
                <c:pt idx="1">
                  <c:v>450</c:v>
                </c:pt>
              </c:numCache>
            </c:numRef>
          </c:val>
          <c:extLst>
            <c:ext xmlns:c15="http://schemas.microsoft.com/office/drawing/2012/chart" uri="{02D57815-91ED-43cb-92C2-25804820EDAC}">
              <c15:datalabelsRange>
                <c15:f>'Pivot Report'!$C$41:$C$42</c15:f>
                <c15:dlblRangeCache>
                  <c:ptCount val="2"/>
                  <c:pt idx="0">
                    <c:v>52.73%</c:v>
                  </c:pt>
                  <c:pt idx="1">
                    <c:v>47.27%</c:v>
                  </c:pt>
                </c15:dlblRangeCache>
              </c15:datalabelsRange>
            </c:ext>
            <c:ext xmlns:c16="http://schemas.microsoft.com/office/drawing/2014/chart" uri="{C3380CC4-5D6E-409C-BE32-E72D297353CC}">
              <c16:uniqueId val="{00000000-0312-4A37-9FF6-DE4894C721AB}"/>
            </c:ext>
          </c:extLst>
        </c:ser>
        <c:ser>
          <c:idx val="1"/>
          <c:order val="1"/>
          <c:tx>
            <c:strRef>
              <c:f>'Pivot Report'!$C$41:$C$42</c:f>
              <c:strCache>
                <c:ptCount val="1"/>
                <c:pt idx="0">
                  <c:v>Count of Patient Admission Flag2</c:v>
                </c:pt>
              </c:strCache>
            </c:strRef>
          </c:tx>
          <c:spPr>
            <a:solidFill>
              <a:schemeClr val="accent6">
                <a:shade val="76000"/>
              </a:schemeClr>
            </a:solidFill>
            <a:ln>
              <a:noFill/>
            </a:ln>
            <a:effectLst/>
          </c:spPr>
          <c:invertIfNegative val="0"/>
          <c:cat>
            <c:strRef>
              <c:f>'Pivot Report'!$C$41:$C$42</c:f>
              <c:strCache>
                <c:ptCount val="2"/>
                <c:pt idx="0">
                  <c:v>Admitted</c:v>
                </c:pt>
                <c:pt idx="1">
                  <c:v>Not Admitted</c:v>
                </c:pt>
              </c:strCache>
            </c:strRef>
          </c:cat>
          <c:val>
            <c:numRef>
              <c:f>'Pivot Report'!$C$41:$C$42</c:f>
              <c:numCache>
                <c:formatCode>0.00%</c:formatCode>
                <c:ptCount val="2"/>
                <c:pt idx="0">
                  <c:v>0.52731092436974791</c:v>
                </c:pt>
                <c:pt idx="1">
                  <c:v>0.47268907563025209</c:v>
                </c:pt>
              </c:numCache>
            </c:numRef>
          </c:val>
          <c:extLst>
            <c:ext xmlns:c16="http://schemas.microsoft.com/office/drawing/2014/chart" uri="{C3380CC4-5D6E-409C-BE32-E72D297353CC}">
              <c16:uniqueId val="{00000001-0312-4A37-9FF6-DE4894C721AB}"/>
            </c:ext>
          </c:extLst>
        </c:ser>
        <c:dLbls>
          <c:showLegendKey val="0"/>
          <c:showVal val="0"/>
          <c:showCatName val="0"/>
          <c:showSerName val="0"/>
          <c:showPercent val="0"/>
          <c:showBubbleSize val="0"/>
        </c:dLbls>
        <c:gapWidth val="0"/>
        <c:axId val="1974860288"/>
        <c:axId val="1974863168"/>
      </c:barChart>
      <c:catAx>
        <c:axId val="1974860288"/>
        <c:scaling>
          <c:orientation val="minMax"/>
        </c:scaling>
        <c:delete val="1"/>
        <c:axPos val="l"/>
        <c:numFmt formatCode="General" sourceLinked="1"/>
        <c:majorTickMark val="none"/>
        <c:minorTickMark val="none"/>
        <c:tickLblPos val="nextTo"/>
        <c:crossAx val="1974863168"/>
        <c:crosses val="autoZero"/>
        <c:auto val="1"/>
        <c:lblAlgn val="ctr"/>
        <c:lblOffset val="100"/>
        <c:noMultiLvlLbl val="0"/>
      </c:catAx>
      <c:valAx>
        <c:axId val="1974863168"/>
        <c:scaling>
          <c:orientation val="minMax"/>
        </c:scaling>
        <c:delete val="1"/>
        <c:axPos val="b"/>
        <c:numFmt formatCode="0.00" sourceLinked="1"/>
        <c:majorTickMark val="none"/>
        <c:minorTickMark val="none"/>
        <c:tickLblPos val="nextTo"/>
        <c:crossAx val="197486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1(Hospital Emergency Room).xlsx]Pivot Report!PivotTable5</c:name>
    <c:fmtId val="5"/>
  </c:pivotSource>
  <c:chart>
    <c:autoTitleDeleted val="1"/>
    <c:pivotFmts>
      <c:pivotFmt>
        <c:idx val="0"/>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22361961172547"/>
          <c:y val="0.21478330255848885"/>
          <c:w val="0.76439079758015693"/>
          <c:h val="0.57043339488302225"/>
        </c:manualLayout>
      </c:layout>
      <c:areaChart>
        <c:grouping val="standard"/>
        <c:varyColors val="0"/>
        <c:ser>
          <c:idx val="0"/>
          <c:order val="0"/>
          <c:tx>
            <c:strRef>
              <c:f>'Pivot Report'!$D$5</c:f>
              <c:strCache>
                <c:ptCount val="1"/>
                <c:pt idx="0">
                  <c:v>Total</c:v>
                </c:pt>
              </c:strCache>
            </c:strRef>
          </c:tx>
          <c:spPr>
            <a:solidFill>
              <a:schemeClr val="accent6"/>
            </a:solidFill>
            <a:ln>
              <a:noFill/>
            </a:ln>
            <a:effectLst/>
          </c:spPr>
          <c:cat>
            <c:strRef>
              <c:f>'Pivot Report'!$C$6:$C$37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Report'!$D$6:$D$37</c:f>
              <c:numCache>
                <c:formatCode>General</c:formatCode>
                <c:ptCount val="31"/>
                <c:pt idx="0">
                  <c:v>32</c:v>
                </c:pt>
                <c:pt idx="1">
                  <c:v>28</c:v>
                </c:pt>
                <c:pt idx="2">
                  <c:v>28</c:v>
                </c:pt>
                <c:pt idx="3">
                  <c:v>25</c:v>
                </c:pt>
                <c:pt idx="4">
                  <c:v>23</c:v>
                </c:pt>
                <c:pt idx="5">
                  <c:v>22</c:v>
                </c:pt>
                <c:pt idx="6">
                  <c:v>33</c:v>
                </c:pt>
                <c:pt idx="7">
                  <c:v>31</c:v>
                </c:pt>
                <c:pt idx="8">
                  <c:v>35</c:v>
                </c:pt>
                <c:pt idx="9">
                  <c:v>30</c:v>
                </c:pt>
                <c:pt idx="10">
                  <c:v>32</c:v>
                </c:pt>
                <c:pt idx="11">
                  <c:v>39</c:v>
                </c:pt>
                <c:pt idx="12">
                  <c:v>39</c:v>
                </c:pt>
                <c:pt idx="13">
                  <c:v>30</c:v>
                </c:pt>
                <c:pt idx="14">
                  <c:v>29</c:v>
                </c:pt>
                <c:pt idx="15">
                  <c:v>34</c:v>
                </c:pt>
                <c:pt idx="16">
                  <c:v>30</c:v>
                </c:pt>
                <c:pt idx="17">
                  <c:v>28</c:v>
                </c:pt>
                <c:pt idx="18">
                  <c:v>33</c:v>
                </c:pt>
                <c:pt idx="19">
                  <c:v>30</c:v>
                </c:pt>
                <c:pt idx="20">
                  <c:v>31</c:v>
                </c:pt>
                <c:pt idx="21">
                  <c:v>27</c:v>
                </c:pt>
                <c:pt idx="22">
                  <c:v>32</c:v>
                </c:pt>
                <c:pt idx="23">
                  <c:v>29</c:v>
                </c:pt>
                <c:pt idx="24">
                  <c:v>29</c:v>
                </c:pt>
                <c:pt idx="25">
                  <c:v>29</c:v>
                </c:pt>
                <c:pt idx="26">
                  <c:v>30</c:v>
                </c:pt>
                <c:pt idx="27">
                  <c:v>32</c:v>
                </c:pt>
                <c:pt idx="28">
                  <c:v>39</c:v>
                </c:pt>
                <c:pt idx="29">
                  <c:v>32</c:v>
                </c:pt>
                <c:pt idx="30">
                  <c:v>31</c:v>
                </c:pt>
              </c:numCache>
            </c:numRef>
          </c:val>
          <c:extLst>
            <c:ext xmlns:c16="http://schemas.microsoft.com/office/drawing/2014/chart" uri="{C3380CC4-5D6E-409C-BE32-E72D297353CC}">
              <c16:uniqueId val="{00000000-D88E-4F31-A07A-85378A4AE33D}"/>
            </c:ext>
          </c:extLst>
        </c:ser>
        <c:dLbls>
          <c:showLegendKey val="0"/>
          <c:showVal val="0"/>
          <c:showCatName val="0"/>
          <c:showSerName val="0"/>
          <c:showPercent val="0"/>
          <c:showBubbleSize val="0"/>
        </c:dLbls>
        <c:axId val="1924309856"/>
        <c:axId val="1924293536"/>
      </c:areaChart>
      <c:catAx>
        <c:axId val="1924309856"/>
        <c:scaling>
          <c:orientation val="minMax"/>
        </c:scaling>
        <c:delete val="1"/>
        <c:axPos val="b"/>
        <c:numFmt formatCode="General" sourceLinked="1"/>
        <c:majorTickMark val="out"/>
        <c:minorTickMark val="none"/>
        <c:tickLblPos val="nextTo"/>
        <c:crossAx val="1924293536"/>
        <c:crosses val="autoZero"/>
        <c:auto val="1"/>
        <c:lblAlgn val="ctr"/>
        <c:lblOffset val="100"/>
        <c:noMultiLvlLbl val="0"/>
      </c:catAx>
      <c:valAx>
        <c:axId val="1924293536"/>
        <c:scaling>
          <c:orientation val="minMax"/>
        </c:scaling>
        <c:delete val="1"/>
        <c:axPos val="l"/>
        <c:numFmt formatCode="General" sourceLinked="1"/>
        <c:majorTickMark val="none"/>
        <c:minorTickMark val="none"/>
        <c:tickLblPos val="nextTo"/>
        <c:crossAx val="19243098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1(Hospital Emergency Room).xlsx]Pivot Report!PivotTable6</c:name>
    <c:fmtId val="17"/>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967135502959051E-2"/>
          <c:y val="0.21568969173688557"/>
          <c:w val="0.93098039215686279"/>
          <c:h val="0.73626325815256966"/>
        </c:manualLayout>
      </c:layout>
      <c:areaChart>
        <c:grouping val="standard"/>
        <c:varyColors val="0"/>
        <c:ser>
          <c:idx val="0"/>
          <c:order val="0"/>
          <c:tx>
            <c:strRef>
              <c:f>'Pivot Report'!$I$6</c:f>
              <c:strCache>
                <c:ptCount val="1"/>
                <c:pt idx="0">
                  <c:v>Total</c:v>
                </c:pt>
              </c:strCache>
            </c:strRef>
          </c:tx>
          <c:spPr>
            <a:solidFill>
              <a:schemeClr val="accent6"/>
            </a:solidFill>
            <a:ln>
              <a:noFill/>
            </a:ln>
            <a:effectLst/>
          </c:spPr>
          <c:cat>
            <c:strRef>
              <c:f>'Pivot Report'!$H$7:$H$38</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Report'!$I$7:$I$38</c:f>
              <c:numCache>
                <c:formatCode>0.00</c:formatCode>
                <c:ptCount val="31"/>
                <c:pt idx="0">
                  <c:v>37.53125</c:v>
                </c:pt>
                <c:pt idx="1">
                  <c:v>31.357142857142858</c:v>
                </c:pt>
                <c:pt idx="2">
                  <c:v>35.285714285714285</c:v>
                </c:pt>
                <c:pt idx="3">
                  <c:v>34</c:v>
                </c:pt>
                <c:pt idx="4">
                  <c:v>28.391304347826086</c:v>
                </c:pt>
                <c:pt idx="5">
                  <c:v>36.545454545454547</c:v>
                </c:pt>
                <c:pt idx="6">
                  <c:v>33.939393939393938</c:v>
                </c:pt>
                <c:pt idx="7">
                  <c:v>38.516129032258064</c:v>
                </c:pt>
                <c:pt idx="8">
                  <c:v>34.74285714285714</c:v>
                </c:pt>
                <c:pt idx="9">
                  <c:v>34.5</c:v>
                </c:pt>
                <c:pt idx="10">
                  <c:v>31.65625</c:v>
                </c:pt>
                <c:pt idx="11">
                  <c:v>37.384615384615387</c:v>
                </c:pt>
                <c:pt idx="12">
                  <c:v>36.205128205128204</c:v>
                </c:pt>
                <c:pt idx="13">
                  <c:v>35.6</c:v>
                </c:pt>
                <c:pt idx="14">
                  <c:v>31.068965517241381</c:v>
                </c:pt>
                <c:pt idx="15">
                  <c:v>33</c:v>
                </c:pt>
                <c:pt idx="16">
                  <c:v>36.233333333333334</c:v>
                </c:pt>
                <c:pt idx="17">
                  <c:v>37.142857142857146</c:v>
                </c:pt>
                <c:pt idx="18">
                  <c:v>34.666666666666664</c:v>
                </c:pt>
                <c:pt idx="19">
                  <c:v>36.033333333333331</c:v>
                </c:pt>
                <c:pt idx="20">
                  <c:v>33.838709677419352</c:v>
                </c:pt>
                <c:pt idx="21">
                  <c:v>34.592592592592595</c:v>
                </c:pt>
                <c:pt idx="22">
                  <c:v>34.4375</c:v>
                </c:pt>
                <c:pt idx="23">
                  <c:v>36.172413793103445</c:v>
                </c:pt>
                <c:pt idx="24">
                  <c:v>34.758620689655174</c:v>
                </c:pt>
                <c:pt idx="25">
                  <c:v>37.241379310344826</c:v>
                </c:pt>
                <c:pt idx="26">
                  <c:v>33.9</c:v>
                </c:pt>
                <c:pt idx="27">
                  <c:v>35.4375</c:v>
                </c:pt>
                <c:pt idx="28">
                  <c:v>36.820512820512818</c:v>
                </c:pt>
                <c:pt idx="29">
                  <c:v>31.3125</c:v>
                </c:pt>
                <c:pt idx="30">
                  <c:v>39.064516129032256</c:v>
                </c:pt>
              </c:numCache>
            </c:numRef>
          </c:val>
          <c:extLst>
            <c:ext xmlns:c16="http://schemas.microsoft.com/office/drawing/2014/chart" uri="{C3380CC4-5D6E-409C-BE32-E72D297353CC}">
              <c16:uniqueId val="{00000000-93B2-4E2D-9FB2-ED2E47EF4DD0}"/>
            </c:ext>
          </c:extLst>
        </c:ser>
        <c:dLbls>
          <c:showLegendKey val="0"/>
          <c:showVal val="0"/>
          <c:showCatName val="0"/>
          <c:showSerName val="0"/>
          <c:showPercent val="0"/>
          <c:showBubbleSize val="0"/>
        </c:dLbls>
        <c:axId val="1974754208"/>
        <c:axId val="1974766688"/>
      </c:areaChart>
      <c:catAx>
        <c:axId val="1974754208"/>
        <c:scaling>
          <c:orientation val="minMax"/>
        </c:scaling>
        <c:delete val="1"/>
        <c:axPos val="b"/>
        <c:numFmt formatCode="General" sourceLinked="1"/>
        <c:majorTickMark val="out"/>
        <c:minorTickMark val="none"/>
        <c:tickLblPos val="nextTo"/>
        <c:crossAx val="1974766688"/>
        <c:crosses val="autoZero"/>
        <c:auto val="1"/>
        <c:lblAlgn val="ctr"/>
        <c:lblOffset val="100"/>
        <c:noMultiLvlLbl val="0"/>
      </c:catAx>
      <c:valAx>
        <c:axId val="1974766688"/>
        <c:scaling>
          <c:orientation val="minMax"/>
        </c:scaling>
        <c:delete val="1"/>
        <c:axPos val="l"/>
        <c:numFmt formatCode="0.00" sourceLinked="1"/>
        <c:majorTickMark val="none"/>
        <c:minorTickMark val="none"/>
        <c:tickLblPos val="nextTo"/>
        <c:crossAx val="19747542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1(Hospital Emergency Room).xlsx]Pivot Report!PivotTable7</c:name>
    <c:fmtId val="28"/>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Report'!$N$4</c:f>
              <c:strCache>
                <c:ptCount val="1"/>
                <c:pt idx="0">
                  <c:v>Total</c:v>
                </c:pt>
              </c:strCache>
            </c:strRef>
          </c:tx>
          <c:spPr>
            <a:solidFill>
              <a:schemeClr val="accent6"/>
            </a:solidFill>
            <a:ln>
              <a:noFill/>
            </a:ln>
            <a:effectLst/>
          </c:spPr>
          <c:cat>
            <c:strRef>
              <c:f>'Pivot Report'!$M$5:$M$36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Report'!$N$5:$N$36</c:f>
              <c:numCache>
                <c:formatCode>0.00</c:formatCode>
                <c:ptCount val="31"/>
                <c:pt idx="0">
                  <c:v>3.7</c:v>
                </c:pt>
                <c:pt idx="1">
                  <c:v>5.8</c:v>
                </c:pt>
                <c:pt idx="2">
                  <c:v>4</c:v>
                </c:pt>
                <c:pt idx="3">
                  <c:v>2</c:v>
                </c:pt>
                <c:pt idx="4">
                  <c:v>6</c:v>
                </c:pt>
                <c:pt idx="5">
                  <c:v>5</c:v>
                </c:pt>
                <c:pt idx="6">
                  <c:v>5.1111111111111107</c:v>
                </c:pt>
                <c:pt idx="7">
                  <c:v>3.8571428571428572</c:v>
                </c:pt>
                <c:pt idx="8">
                  <c:v>6.5714285714285712</c:v>
                </c:pt>
                <c:pt idx="9">
                  <c:v>5.2857142857142856</c:v>
                </c:pt>
                <c:pt idx="10">
                  <c:v>5.5</c:v>
                </c:pt>
                <c:pt idx="11">
                  <c:v>4.8181818181818183</c:v>
                </c:pt>
                <c:pt idx="12">
                  <c:v>5</c:v>
                </c:pt>
                <c:pt idx="13">
                  <c:v>3.2222222222222223</c:v>
                </c:pt>
                <c:pt idx="14">
                  <c:v>6.333333333333333</c:v>
                </c:pt>
                <c:pt idx="15">
                  <c:v>3.8</c:v>
                </c:pt>
                <c:pt idx="16">
                  <c:v>3.1111111111111112</c:v>
                </c:pt>
                <c:pt idx="17">
                  <c:v>2.8333333333333335</c:v>
                </c:pt>
                <c:pt idx="18">
                  <c:v>6.625</c:v>
                </c:pt>
                <c:pt idx="19">
                  <c:v>3.5</c:v>
                </c:pt>
                <c:pt idx="20">
                  <c:v>5.166666666666667</c:v>
                </c:pt>
                <c:pt idx="21">
                  <c:v>5.333333333333333</c:v>
                </c:pt>
                <c:pt idx="22">
                  <c:v>4.875</c:v>
                </c:pt>
                <c:pt idx="23">
                  <c:v>4.5</c:v>
                </c:pt>
                <c:pt idx="24">
                  <c:v>4.625</c:v>
                </c:pt>
                <c:pt idx="25">
                  <c:v>5</c:v>
                </c:pt>
                <c:pt idx="26">
                  <c:v>6.8181818181818183</c:v>
                </c:pt>
                <c:pt idx="27">
                  <c:v>6.375</c:v>
                </c:pt>
                <c:pt idx="28">
                  <c:v>4.615384615384615</c:v>
                </c:pt>
                <c:pt idx="29">
                  <c:v>5.5454545454545459</c:v>
                </c:pt>
                <c:pt idx="30">
                  <c:v>6.9090909090909092</c:v>
                </c:pt>
              </c:numCache>
            </c:numRef>
          </c:val>
          <c:extLst>
            <c:ext xmlns:c16="http://schemas.microsoft.com/office/drawing/2014/chart" uri="{C3380CC4-5D6E-409C-BE32-E72D297353CC}">
              <c16:uniqueId val="{00000000-1383-4E8D-8902-ADF4FCBC6D9C}"/>
            </c:ext>
          </c:extLst>
        </c:ser>
        <c:dLbls>
          <c:showLegendKey val="0"/>
          <c:showVal val="0"/>
          <c:showCatName val="0"/>
          <c:showSerName val="0"/>
          <c:showPercent val="0"/>
          <c:showBubbleSize val="0"/>
        </c:dLbls>
        <c:axId val="1974807488"/>
        <c:axId val="1974807968"/>
      </c:areaChart>
      <c:catAx>
        <c:axId val="1974807488"/>
        <c:scaling>
          <c:orientation val="minMax"/>
        </c:scaling>
        <c:delete val="1"/>
        <c:axPos val="b"/>
        <c:numFmt formatCode="General" sourceLinked="1"/>
        <c:majorTickMark val="out"/>
        <c:minorTickMark val="none"/>
        <c:tickLblPos val="nextTo"/>
        <c:crossAx val="1974807968"/>
        <c:crosses val="autoZero"/>
        <c:auto val="1"/>
        <c:lblAlgn val="ctr"/>
        <c:lblOffset val="100"/>
        <c:noMultiLvlLbl val="0"/>
      </c:catAx>
      <c:valAx>
        <c:axId val="1974807968"/>
        <c:scaling>
          <c:orientation val="minMax"/>
        </c:scaling>
        <c:delete val="1"/>
        <c:axPos val="l"/>
        <c:numFmt formatCode="0.00" sourceLinked="1"/>
        <c:majorTickMark val="none"/>
        <c:minorTickMark val="none"/>
        <c:tickLblPos val="nextTo"/>
        <c:crossAx val="19748074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1(Hospital Emergency Room).xlsx]Pivot Report!PivotTable9</c:name>
    <c:fmtId val="12"/>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00705467372132E-2"/>
          <c:y val="0.13803539926592925"/>
          <c:w val="0.90828924162257496"/>
          <c:h val="0.55947227168978408"/>
        </c:manualLayout>
      </c:layout>
      <c:barChart>
        <c:barDir val="col"/>
        <c:grouping val="clustered"/>
        <c:varyColors val="0"/>
        <c:ser>
          <c:idx val="0"/>
          <c:order val="0"/>
          <c:tx>
            <c:strRef>
              <c:f>'Pivot Report'!$B$51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Report'!$A$52:$A$60</c:f>
              <c:strCache>
                <c:ptCount val="8"/>
                <c:pt idx="0">
                  <c:v>0-09</c:v>
                </c:pt>
                <c:pt idx="1">
                  <c:v>10-19</c:v>
                </c:pt>
                <c:pt idx="2">
                  <c:v>20-29</c:v>
                </c:pt>
                <c:pt idx="3">
                  <c:v>30-39</c:v>
                </c:pt>
                <c:pt idx="4">
                  <c:v>40-49</c:v>
                </c:pt>
                <c:pt idx="5">
                  <c:v>50-59</c:v>
                </c:pt>
                <c:pt idx="6">
                  <c:v>60-69</c:v>
                </c:pt>
                <c:pt idx="7">
                  <c:v>70-79</c:v>
                </c:pt>
              </c:strCache>
            </c:strRef>
          </c:cat>
          <c:val>
            <c:numRef>
              <c:f>'Pivot Report'!$B$52:$B$60</c:f>
              <c:numCache>
                <c:formatCode>0</c:formatCode>
                <c:ptCount val="8"/>
                <c:pt idx="0">
                  <c:v>123</c:v>
                </c:pt>
                <c:pt idx="1">
                  <c:v>126</c:v>
                </c:pt>
                <c:pt idx="2">
                  <c:v>120</c:v>
                </c:pt>
                <c:pt idx="3">
                  <c:v>103</c:v>
                </c:pt>
                <c:pt idx="4">
                  <c:v>135</c:v>
                </c:pt>
                <c:pt idx="5">
                  <c:v>134</c:v>
                </c:pt>
                <c:pt idx="6">
                  <c:v>96</c:v>
                </c:pt>
                <c:pt idx="7">
                  <c:v>115</c:v>
                </c:pt>
              </c:numCache>
            </c:numRef>
          </c:val>
          <c:extLst>
            <c:ext xmlns:c16="http://schemas.microsoft.com/office/drawing/2014/chart" uri="{C3380CC4-5D6E-409C-BE32-E72D297353CC}">
              <c16:uniqueId val="{00000000-87A8-4B92-9D2F-FD0995FC1E19}"/>
            </c:ext>
          </c:extLst>
        </c:ser>
        <c:dLbls>
          <c:showLegendKey val="0"/>
          <c:showVal val="0"/>
          <c:showCatName val="0"/>
          <c:showSerName val="0"/>
          <c:showPercent val="0"/>
          <c:showBubbleSize val="0"/>
        </c:dLbls>
        <c:gapWidth val="219"/>
        <c:overlap val="-27"/>
        <c:axId val="1974757088"/>
        <c:axId val="1974754688"/>
      </c:barChart>
      <c:catAx>
        <c:axId val="197475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74754688"/>
        <c:crosses val="autoZero"/>
        <c:auto val="1"/>
        <c:lblAlgn val="ctr"/>
        <c:lblOffset val="100"/>
        <c:noMultiLvlLbl val="0"/>
      </c:catAx>
      <c:valAx>
        <c:axId val="1974754688"/>
        <c:scaling>
          <c:orientation val="minMax"/>
        </c:scaling>
        <c:delete val="1"/>
        <c:axPos val="l"/>
        <c:numFmt formatCode="0" sourceLinked="1"/>
        <c:majorTickMark val="none"/>
        <c:minorTickMark val="none"/>
        <c:tickLblPos val="nextTo"/>
        <c:crossAx val="197475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1(Hospital Emergency Room).xlsx]Pivot Report!PivotTable10</c:name>
    <c:fmtId val="19"/>
  </c:pivotSource>
  <c:chart>
    <c:autoTitleDeleted val="1"/>
    <c:pivotFmts>
      <c:pivotFmt>
        <c:idx val="0"/>
      </c:pivotFmt>
      <c:pivotFmt>
        <c:idx val="1"/>
      </c:pivotFmt>
      <c:pivotFmt>
        <c:idx val="2"/>
      </c:pivotFmt>
      <c:pivotFmt>
        <c:idx val="3"/>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hade val="76000"/>
            </a:schemeClr>
          </a:solidFill>
          <a:ln>
            <a:noFill/>
          </a:ln>
          <a:effectLst/>
        </c:spPr>
      </c:pivotFmt>
      <c:pivotFmt>
        <c:idx val="6"/>
        <c:spPr>
          <a:solidFill>
            <a:schemeClr val="accent6">
              <a:tint val="77000"/>
            </a:schemeClr>
          </a:solidFill>
          <a:ln>
            <a:noFill/>
          </a:ln>
          <a:effectLst/>
        </c:spPr>
      </c:pivotFmt>
    </c:pivotFmts>
    <c:plotArea>
      <c:layout>
        <c:manualLayout>
          <c:layoutTarget val="inner"/>
          <c:xMode val="edge"/>
          <c:yMode val="edge"/>
          <c:x val="8.6021637797796813E-2"/>
          <c:y val="6.5056491811824824E-2"/>
          <c:w val="0.50158558136957276"/>
          <c:h val="0.65532754309692898"/>
        </c:manualLayout>
      </c:layout>
      <c:pieChart>
        <c:varyColors val="1"/>
        <c:ser>
          <c:idx val="0"/>
          <c:order val="0"/>
          <c:tx>
            <c:strRef>
              <c:f>'Pivot Report'!$B$65</c:f>
              <c:strCache>
                <c:ptCount val="1"/>
                <c:pt idx="0">
                  <c:v>Total</c:v>
                </c:pt>
              </c:strCache>
            </c:strRef>
          </c:tx>
          <c:spPr>
            <a:effectLst/>
          </c:spPr>
          <c:dPt>
            <c:idx val="0"/>
            <c:bubble3D val="0"/>
            <c:spPr>
              <a:solidFill>
                <a:schemeClr val="accent6">
                  <a:shade val="76000"/>
                </a:schemeClr>
              </a:solidFill>
              <a:ln>
                <a:noFill/>
              </a:ln>
              <a:effectLst/>
            </c:spPr>
            <c:extLst>
              <c:ext xmlns:c16="http://schemas.microsoft.com/office/drawing/2014/chart" uri="{C3380CC4-5D6E-409C-BE32-E72D297353CC}">
                <c16:uniqueId val="{00000001-64C6-44E8-BC6B-2A7BFC38741D}"/>
              </c:ext>
            </c:extLst>
          </c:dPt>
          <c:dPt>
            <c:idx val="1"/>
            <c:bubble3D val="0"/>
            <c:spPr>
              <a:solidFill>
                <a:schemeClr val="accent6">
                  <a:tint val="77000"/>
                </a:schemeClr>
              </a:solidFill>
              <a:ln>
                <a:noFill/>
              </a:ln>
              <a:effectLst/>
            </c:spPr>
            <c:extLst>
              <c:ext xmlns:c16="http://schemas.microsoft.com/office/drawing/2014/chart" uri="{C3380CC4-5D6E-409C-BE32-E72D297353CC}">
                <c16:uniqueId val="{00000003-64C6-44E8-BC6B-2A7BFC38741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Report'!$A$66:$A$68</c:f>
              <c:strCache>
                <c:ptCount val="2"/>
                <c:pt idx="0">
                  <c:v>Delay</c:v>
                </c:pt>
                <c:pt idx="1">
                  <c:v>Ontime</c:v>
                </c:pt>
              </c:strCache>
            </c:strRef>
          </c:cat>
          <c:val>
            <c:numRef>
              <c:f>'Pivot Report'!$B$66:$B$68</c:f>
              <c:numCache>
                <c:formatCode>0</c:formatCode>
                <c:ptCount val="2"/>
                <c:pt idx="0">
                  <c:v>555</c:v>
                </c:pt>
                <c:pt idx="1">
                  <c:v>397</c:v>
                </c:pt>
              </c:numCache>
            </c:numRef>
          </c:val>
          <c:extLst>
            <c:ext xmlns:c16="http://schemas.microsoft.com/office/drawing/2014/chart" uri="{C3380CC4-5D6E-409C-BE32-E72D297353CC}">
              <c16:uniqueId val="{00000004-64C6-44E8-BC6B-2A7BFC38741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36288569651665"/>
          <c:y val="0.26455738158601849"/>
          <c:w val="0.20906890967420153"/>
          <c:h val="0.33806270575022601"/>
        </c:manualLayout>
      </c:layout>
      <c:overlay val="0"/>
      <c:spPr>
        <a:solidFill>
          <a:schemeClr val="lt1">
            <a:alpha val="78000"/>
          </a:schemeClr>
        </a:solid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1(Hospital Emergency Room).xlsx]Pivot Report!PivotTable11</c:name>
    <c:fmtId val="29"/>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tint val="77000"/>
            </a:schemeClr>
          </a:solidFill>
          <a:ln w="19050">
            <a:solidFill>
              <a:schemeClr val="lt1"/>
            </a:solidFill>
          </a:ln>
          <a:effectLst/>
        </c:spPr>
      </c:pivotFmt>
      <c:pivotFmt>
        <c:idx val="6"/>
        <c:spPr>
          <a:solidFill>
            <a:schemeClr val="accent6">
              <a:shade val="76000"/>
            </a:schemeClr>
          </a:solidFill>
          <a:ln w="19050">
            <a:solidFill>
              <a:schemeClr val="lt1"/>
            </a:solidFill>
          </a:ln>
          <a:effectLst/>
        </c:spPr>
      </c:pivotFmt>
    </c:pivotFmts>
    <c:plotArea>
      <c:layout>
        <c:manualLayout>
          <c:layoutTarget val="inner"/>
          <c:xMode val="edge"/>
          <c:yMode val="edge"/>
          <c:x val="4.860575128044712E-2"/>
          <c:y val="8.5333261662352416E-2"/>
          <c:w val="0.589471489045163"/>
          <c:h val="0.69085926227043581"/>
        </c:manualLayout>
      </c:layout>
      <c:doughnutChart>
        <c:varyColors val="1"/>
        <c:ser>
          <c:idx val="0"/>
          <c:order val="0"/>
          <c:tx>
            <c:strRef>
              <c:f>'Pivot Report'!$B$72</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2625-44F5-B72E-8945DD5EBA6D}"/>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2625-44F5-B72E-8945DD5EBA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Report'!$A$73:$A$75</c:f>
              <c:strCache>
                <c:ptCount val="2"/>
                <c:pt idx="0">
                  <c:v>Female</c:v>
                </c:pt>
                <c:pt idx="1">
                  <c:v>Male</c:v>
                </c:pt>
              </c:strCache>
            </c:strRef>
          </c:cat>
          <c:val>
            <c:numRef>
              <c:f>'Pivot Report'!$B$73:$B$75</c:f>
              <c:numCache>
                <c:formatCode>0</c:formatCode>
                <c:ptCount val="2"/>
                <c:pt idx="0">
                  <c:v>460</c:v>
                </c:pt>
                <c:pt idx="1">
                  <c:v>492</c:v>
                </c:pt>
              </c:numCache>
            </c:numRef>
          </c:val>
          <c:extLst>
            <c:ext xmlns:c16="http://schemas.microsoft.com/office/drawing/2014/chart" uri="{C3380CC4-5D6E-409C-BE32-E72D297353CC}">
              <c16:uniqueId val="{00000004-2625-44F5-B72E-8945DD5EBA6D}"/>
            </c:ext>
          </c:extLst>
        </c:ser>
        <c:dLbls>
          <c:showLegendKey val="0"/>
          <c:showVal val="0"/>
          <c:showCatName val="0"/>
          <c:showSerName val="0"/>
          <c:showPercent val="1"/>
          <c:showBubbleSize val="0"/>
          <c:showLeaderLines val="1"/>
        </c:dLbls>
        <c:firstSliceAng val="10"/>
        <c:holeSize val="48"/>
      </c:doughnutChart>
      <c:spPr>
        <a:noFill/>
        <a:ln>
          <a:noFill/>
        </a:ln>
        <a:effectLst/>
      </c:spPr>
    </c:plotArea>
    <c:legend>
      <c:legendPos val="r"/>
      <c:layout>
        <c:manualLayout>
          <c:xMode val="edge"/>
          <c:yMode val="edge"/>
          <c:x val="0.69635684396926789"/>
          <c:y val="0.25198173061901896"/>
          <c:w val="0.27633937241429229"/>
          <c:h val="0.28270338460608119"/>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1(Hospital Emergency Room).xlsx]Pivot Report!PivotTable12</c:name>
    <c:fmtId val="3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941925191122361"/>
          <c:y val="8.4291187739463605E-2"/>
          <c:w val="0.65805820958942296"/>
          <c:h val="0.83141762452107282"/>
        </c:manualLayout>
      </c:layout>
      <c:barChart>
        <c:barDir val="bar"/>
        <c:grouping val="clustered"/>
        <c:varyColors val="0"/>
        <c:ser>
          <c:idx val="0"/>
          <c:order val="0"/>
          <c:tx>
            <c:strRef>
              <c:f>'Pivot Report'!$E$72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Report'!$D$73:$D$81</c:f>
              <c:strCache>
                <c:ptCount val="8"/>
                <c:pt idx="0">
                  <c:v>Renal</c:v>
                </c:pt>
                <c:pt idx="1">
                  <c:v>Neurology</c:v>
                </c:pt>
                <c:pt idx="2">
                  <c:v>Gastroenterology</c:v>
                </c:pt>
                <c:pt idx="3">
                  <c:v>Cardiology</c:v>
                </c:pt>
                <c:pt idx="4">
                  <c:v>Physiotherapy</c:v>
                </c:pt>
                <c:pt idx="5">
                  <c:v>Orthopedics</c:v>
                </c:pt>
                <c:pt idx="6">
                  <c:v>General Practice</c:v>
                </c:pt>
                <c:pt idx="7">
                  <c:v>None</c:v>
                </c:pt>
              </c:strCache>
            </c:strRef>
          </c:cat>
          <c:val>
            <c:numRef>
              <c:f>'Pivot Report'!$E$73:$E$81</c:f>
              <c:numCache>
                <c:formatCode>0</c:formatCode>
                <c:ptCount val="8"/>
                <c:pt idx="0">
                  <c:v>7</c:v>
                </c:pt>
                <c:pt idx="1">
                  <c:v>16</c:v>
                </c:pt>
                <c:pt idx="2">
                  <c:v>19</c:v>
                </c:pt>
                <c:pt idx="3">
                  <c:v>23</c:v>
                </c:pt>
                <c:pt idx="4">
                  <c:v>23</c:v>
                </c:pt>
                <c:pt idx="5">
                  <c:v>114</c:v>
                </c:pt>
                <c:pt idx="6">
                  <c:v>180</c:v>
                </c:pt>
                <c:pt idx="7">
                  <c:v>570</c:v>
                </c:pt>
              </c:numCache>
            </c:numRef>
          </c:val>
          <c:extLst>
            <c:ext xmlns:c16="http://schemas.microsoft.com/office/drawing/2014/chart" uri="{C3380CC4-5D6E-409C-BE32-E72D297353CC}">
              <c16:uniqueId val="{00000000-01E4-4870-8AB7-97E0E04E9B2A}"/>
            </c:ext>
          </c:extLst>
        </c:ser>
        <c:dLbls>
          <c:showLegendKey val="0"/>
          <c:showVal val="0"/>
          <c:showCatName val="0"/>
          <c:showSerName val="0"/>
          <c:showPercent val="0"/>
          <c:showBubbleSize val="0"/>
        </c:dLbls>
        <c:gapWidth val="112"/>
        <c:axId val="83164399"/>
        <c:axId val="83164879"/>
      </c:barChart>
      <c:catAx>
        <c:axId val="83164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3164879"/>
        <c:crosses val="autoZero"/>
        <c:auto val="1"/>
        <c:lblAlgn val="ctr"/>
        <c:lblOffset val="100"/>
        <c:noMultiLvlLbl val="0"/>
      </c:catAx>
      <c:valAx>
        <c:axId val="83164879"/>
        <c:scaling>
          <c:orientation val="minMax"/>
        </c:scaling>
        <c:delete val="1"/>
        <c:axPos val="b"/>
        <c:numFmt formatCode="0" sourceLinked="1"/>
        <c:majorTickMark val="none"/>
        <c:minorTickMark val="none"/>
        <c:tickLblPos val="nextTo"/>
        <c:crossAx val="8316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1(Hospital Emergency Room).xlsx]Pivot Report!PivotTable6</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967135502959051E-2"/>
          <c:y val="0.21568969173688557"/>
          <c:w val="0.93098039215686279"/>
          <c:h val="0.73626325815256966"/>
        </c:manualLayout>
      </c:layout>
      <c:areaChart>
        <c:grouping val="standard"/>
        <c:varyColors val="0"/>
        <c:ser>
          <c:idx val="0"/>
          <c:order val="0"/>
          <c:tx>
            <c:strRef>
              <c:f>'Pivot Report'!$I$6</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strRef>
              <c:f>'Pivot Report'!$H$7:$H$38</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Report'!$I$7:$I$38</c:f>
              <c:numCache>
                <c:formatCode>0.00</c:formatCode>
                <c:ptCount val="31"/>
                <c:pt idx="0">
                  <c:v>37.53125</c:v>
                </c:pt>
                <c:pt idx="1">
                  <c:v>31.357142857142858</c:v>
                </c:pt>
                <c:pt idx="2">
                  <c:v>35.285714285714285</c:v>
                </c:pt>
                <c:pt idx="3">
                  <c:v>34</c:v>
                </c:pt>
                <c:pt idx="4">
                  <c:v>28.391304347826086</c:v>
                </c:pt>
                <c:pt idx="5">
                  <c:v>36.545454545454547</c:v>
                </c:pt>
                <c:pt idx="6">
                  <c:v>33.939393939393938</c:v>
                </c:pt>
                <c:pt idx="7">
                  <c:v>38.516129032258064</c:v>
                </c:pt>
                <c:pt idx="8">
                  <c:v>34.74285714285714</c:v>
                </c:pt>
                <c:pt idx="9">
                  <c:v>34.5</c:v>
                </c:pt>
                <c:pt idx="10">
                  <c:v>31.65625</c:v>
                </c:pt>
                <c:pt idx="11">
                  <c:v>37.384615384615387</c:v>
                </c:pt>
                <c:pt idx="12">
                  <c:v>36.205128205128204</c:v>
                </c:pt>
                <c:pt idx="13">
                  <c:v>35.6</c:v>
                </c:pt>
                <c:pt idx="14">
                  <c:v>31.068965517241381</c:v>
                </c:pt>
                <c:pt idx="15">
                  <c:v>33</c:v>
                </c:pt>
                <c:pt idx="16">
                  <c:v>36.233333333333334</c:v>
                </c:pt>
                <c:pt idx="17">
                  <c:v>37.142857142857146</c:v>
                </c:pt>
                <c:pt idx="18">
                  <c:v>34.666666666666664</c:v>
                </c:pt>
                <c:pt idx="19">
                  <c:v>36.033333333333331</c:v>
                </c:pt>
                <c:pt idx="20">
                  <c:v>33.838709677419352</c:v>
                </c:pt>
                <c:pt idx="21">
                  <c:v>34.592592592592595</c:v>
                </c:pt>
                <c:pt idx="22">
                  <c:v>34.4375</c:v>
                </c:pt>
                <c:pt idx="23">
                  <c:v>36.172413793103445</c:v>
                </c:pt>
                <c:pt idx="24">
                  <c:v>34.758620689655174</c:v>
                </c:pt>
                <c:pt idx="25">
                  <c:v>37.241379310344826</c:v>
                </c:pt>
                <c:pt idx="26">
                  <c:v>33.9</c:v>
                </c:pt>
                <c:pt idx="27">
                  <c:v>35.4375</c:v>
                </c:pt>
                <c:pt idx="28">
                  <c:v>36.820512820512818</c:v>
                </c:pt>
                <c:pt idx="29">
                  <c:v>31.3125</c:v>
                </c:pt>
                <c:pt idx="30">
                  <c:v>39.064516129032256</c:v>
                </c:pt>
              </c:numCache>
            </c:numRef>
          </c:val>
          <c:extLst>
            <c:ext xmlns:c16="http://schemas.microsoft.com/office/drawing/2014/chart" uri="{C3380CC4-5D6E-409C-BE32-E72D297353CC}">
              <c16:uniqueId val="{00000000-D297-4D7D-BEF2-85120280068E}"/>
            </c:ext>
          </c:extLst>
        </c:ser>
        <c:dLbls>
          <c:showLegendKey val="0"/>
          <c:showVal val="0"/>
          <c:showCatName val="0"/>
          <c:showSerName val="0"/>
          <c:showPercent val="0"/>
          <c:showBubbleSize val="0"/>
        </c:dLbls>
        <c:axId val="1974754208"/>
        <c:axId val="1974766688"/>
      </c:areaChart>
      <c:catAx>
        <c:axId val="1974754208"/>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974766688"/>
        <c:crosses val="autoZero"/>
        <c:auto val="1"/>
        <c:lblAlgn val="ctr"/>
        <c:lblOffset val="100"/>
        <c:noMultiLvlLbl val="0"/>
      </c:catAx>
      <c:valAx>
        <c:axId val="19747666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7542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1(Hospital Emergency Room).xlsx]Pivot Report!PivotTable5</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Report'!$D$5</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Report'!$C$6:$C$37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Report'!$D$6:$D$37</c:f>
              <c:numCache>
                <c:formatCode>General</c:formatCode>
                <c:ptCount val="31"/>
                <c:pt idx="0">
                  <c:v>32</c:v>
                </c:pt>
                <c:pt idx="1">
                  <c:v>28</c:v>
                </c:pt>
                <c:pt idx="2">
                  <c:v>28</c:v>
                </c:pt>
                <c:pt idx="3">
                  <c:v>25</c:v>
                </c:pt>
                <c:pt idx="4">
                  <c:v>23</c:v>
                </c:pt>
                <c:pt idx="5">
                  <c:v>22</c:v>
                </c:pt>
                <c:pt idx="6">
                  <c:v>33</c:v>
                </c:pt>
                <c:pt idx="7">
                  <c:v>31</c:v>
                </c:pt>
                <c:pt idx="8">
                  <c:v>35</c:v>
                </c:pt>
                <c:pt idx="9">
                  <c:v>30</c:v>
                </c:pt>
                <c:pt idx="10">
                  <c:v>32</c:v>
                </c:pt>
                <c:pt idx="11">
                  <c:v>39</c:v>
                </c:pt>
                <c:pt idx="12">
                  <c:v>39</c:v>
                </c:pt>
                <c:pt idx="13">
                  <c:v>30</c:v>
                </c:pt>
                <c:pt idx="14">
                  <c:v>29</c:v>
                </c:pt>
                <c:pt idx="15">
                  <c:v>34</c:v>
                </c:pt>
                <c:pt idx="16">
                  <c:v>30</c:v>
                </c:pt>
                <c:pt idx="17">
                  <c:v>28</c:v>
                </c:pt>
                <c:pt idx="18">
                  <c:v>33</c:v>
                </c:pt>
                <c:pt idx="19">
                  <c:v>30</c:v>
                </c:pt>
                <c:pt idx="20">
                  <c:v>31</c:v>
                </c:pt>
                <c:pt idx="21">
                  <c:v>27</c:v>
                </c:pt>
                <c:pt idx="22">
                  <c:v>32</c:v>
                </c:pt>
                <c:pt idx="23">
                  <c:v>29</c:v>
                </c:pt>
                <c:pt idx="24">
                  <c:v>29</c:v>
                </c:pt>
                <c:pt idx="25">
                  <c:v>29</c:v>
                </c:pt>
                <c:pt idx="26">
                  <c:v>30</c:v>
                </c:pt>
                <c:pt idx="27">
                  <c:v>32</c:v>
                </c:pt>
                <c:pt idx="28">
                  <c:v>39</c:v>
                </c:pt>
                <c:pt idx="29">
                  <c:v>32</c:v>
                </c:pt>
                <c:pt idx="30">
                  <c:v>31</c:v>
                </c:pt>
              </c:numCache>
            </c:numRef>
          </c:val>
          <c:extLst>
            <c:ext xmlns:c16="http://schemas.microsoft.com/office/drawing/2014/chart" uri="{C3380CC4-5D6E-409C-BE32-E72D297353CC}">
              <c16:uniqueId val="{00000000-E16F-4BDE-A8F1-0965557D487D}"/>
            </c:ext>
          </c:extLst>
        </c:ser>
        <c:dLbls>
          <c:showLegendKey val="0"/>
          <c:showVal val="0"/>
          <c:showCatName val="0"/>
          <c:showSerName val="0"/>
          <c:showPercent val="0"/>
          <c:showBubbleSize val="0"/>
        </c:dLbls>
        <c:axId val="1924309856"/>
        <c:axId val="1924293536"/>
      </c:areaChart>
      <c:catAx>
        <c:axId val="1924309856"/>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924293536"/>
        <c:crosses val="autoZero"/>
        <c:auto val="1"/>
        <c:lblAlgn val="ctr"/>
        <c:lblOffset val="100"/>
        <c:noMultiLvlLbl val="0"/>
      </c:catAx>
      <c:valAx>
        <c:axId val="1924293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3098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1(Hospital Emergency Room).xlsx]Pivot Report!PivotTable7</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Report'!$N$4</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strRef>
              <c:f>'Pivot Report'!$M$5:$M$36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Report'!$N$5:$N$36</c:f>
              <c:numCache>
                <c:formatCode>0.00</c:formatCode>
                <c:ptCount val="31"/>
                <c:pt idx="0">
                  <c:v>3.7</c:v>
                </c:pt>
                <c:pt idx="1">
                  <c:v>5.8</c:v>
                </c:pt>
                <c:pt idx="2">
                  <c:v>4</c:v>
                </c:pt>
                <c:pt idx="3">
                  <c:v>2</c:v>
                </c:pt>
                <c:pt idx="4">
                  <c:v>6</c:v>
                </c:pt>
                <c:pt idx="5">
                  <c:v>5</c:v>
                </c:pt>
                <c:pt idx="6">
                  <c:v>5.1111111111111107</c:v>
                </c:pt>
                <c:pt idx="7">
                  <c:v>3.8571428571428572</c:v>
                </c:pt>
                <c:pt idx="8">
                  <c:v>6.5714285714285712</c:v>
                </c:pt>
                <c:pt idx="9">
                  <c:v>5.2857142857142856</c:v>
                </c:pt>
                <c:pt idx="10">
                  <c:v>5.5</c:v>
                </c:pt>
                <c:pt idx="11">
                  <c:v>4.8181818181818183</c:v>
                </c:pt>
                <c:pt idx="12">
                  <c:v>5</c:v>
                </c:pt>
                <c:pt idx="13">
                  <c:v>3.2222222222222223</c:v>
                </c:pt>
                <c:pt idx="14">
                  <c:v>6.333333333333333</c:v>
                </c:pt>
                <c:pt idx="15">
                  <c:v>3.8</c:v>
                </c:pt>
                <c:pt idx="16">
                  <c:v>3.1111111111111112</c:v>
                </c:pt>
                <c:pt idx="17">
                  <c:v>2.8333333333333335</c:v>
                </c:pt>
                <c:pt idx="18">
                  <c:v>6.625</c:v>
                </c:pt>
                <c:pt idx="19">
                  <c:v>3.5</c:v>
                </c:pt>
                <c:pt idx="20">
                  <c:v>5.166666666666667</c:v>
                </c:pt>
                <c:pt idx="21">
                  <c:v>5.333333333333333</c:v>
                </c:pt>
                <c:pt idx="22">
                  <c:v>4.875</c:v>
                </c:pt>
                <c:pt idx="23">
                  <c:v>4.5</c:v>
                </c:pt>
                <c:pt idx="24">
                  <c:v>4.625</c:v>
                </c:pt>
                <c:pt idx="25">
                  <c:v>5</c:v>
                </c:pt>
                <c:pt idx="26">
                  <c:v>6.8181818181818183</c:v>
                </c:pt>
                <c:pt idx="27">
                  <c:v>6.375</c:v>
                </c:pt>
                <c:pt idx="28">
                  <c:v>4.615384615384615</c:v>
                </c:pt>
                <c:pt idx="29">
                  <c:v>5.5454545454545459</c:v>
                </c:pt>
                <c:pt idx="30">
                  <c:v>6.9090909090909092</c:v>
                </c:pt>
              </c:numCache>
            </c:numRef>
          </c:val>
          <c:extLst>
            <c:ext xmlns:c16="http://schemas.microsoft.com/office/drawing/2014/chart" uri="{C3380CC4-5D6E-409C-BE32-E72D297353CC}">
              <c16:uniqueId val="{00000000-4009-4727-87C0-6A53183B3C4E}"/>
            </c:ext>
          </c:extLst>
        </c:ser>
        <c:dLbls>
          <c:showLegendKey val="0"/>
          <c:showVal val="0"/>
          <c:showCatName val="0"/>
          <c:showSerName val="0"/>
          <c:showPercent val="0"/>
          <c:showBubbleSize val="0"/>
        </c:dLbls>
        <c:axId val="1974807488"/>
        <c:axId val="1974807968"/>
      </c:areaChart>
      <c:catAx>
        <c:axId val="1974807488"/>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974807968"/>
        <c:crosses val="autoZero"/>
        <c:auto val="1"/>
        <c:lblAlgn val="ctr"/>
        <c:lblOffset val="100"/>
        <c:noMultiLvlLbl val="0"/>
      </c:catAx>
      <c:valAx>
        <c:axId val="19748079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8074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10.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11.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hyperlink" Target="#'Avg Wait Time Daily Trend'!A1"/><Relationship Id="rId7" Type="http://schemas.openxmlformats.org/officeDocument/2006/relationships/image" Target="../media/image5.svg"/><Relationship Id="rId12" Type="http://schemas.openxmlformats.org/officeDocument/2006/relationships/hyperlink" Target="#'Satisfaction Daily Trend'!A1"/><Relationship Id="rId17" Type="http://schemas.openxmlformats.org/officeDocument/2006/relationships/chart" Target="../charts/chart7.xml"/><Relationship Id="rId2" Type="http://schemas.openxmlformats.org/officeDocument/2006/relationships/hyperlink" Target="#'Daily ER No. Of Patients'!A1"/><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3.xml"/><Relationship Id="rId5" Type="http://schemas.openxmlformats.org/officeDocument/2006/relationships/image" Target="../media/image3.svg"/><Relationship Id="rId15" Type="http://schemas.openxmlformats.org/officeDocument/2006/relationships/chart" Target="../charts/chart5.xml"/><Relationship Id="rId10" Type="http://schemas.openxmlformats.org/officeDocument/2006/relationships/chart" Target="../charts/chart2.xml"/><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image" Target="../media/image8.emf"/></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586199</xdr:colOff>
      <xdr:row>44</xdr:row>
      <xdr:rowOff>32657</xdr:rowOff>
    </xdr:from>
    <xdr:to>
      <xdr:col>4</xdr:col>
      <xdr:colOff>43543</xdr:colOff>
      <xdr:row>47</xdr:row>
      <xdr:rowOff>76198</xdr:rowOff>
    </xdr:to>
    <xdr:graphicFrame macro="">
      <xdr:nvGraphicFramePr>
        <xdr:cNvPr id="8" name="Chart 7">
          <a:extLst>
            <a:ext uri="{FF2B5EF4-FFF2-40B4-BE49-F238E27FC236}">
              <a16:creationId xmlns:a16="http://schemas.microsoft.com/office/drawing/2014/main" id="{A15D6E29-8BB3-4356-B9A2-003004D27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38099</xdr:colOff>
      <xdr:row>0</xdr:row>
      <xdr:rowOff>38100</xdr:rowOff>
    </xdr:from>
    <xdr:to>
      <xdr:col>5</xdr:col>
      <xdr:colOff>290513</xdr:colOff>
      <xdr:row>2</xdr:row>
      <xdr:rowOff>85725</xdr:rowOff>
    </xdr:to>
    <xdr:sp macro="" textlink="">
      <xdr:nvSpPr>
        <xdr:cNvPr id="2" name="Rectangle: Rounded Corners 1">
          <a:extLst>
            <a:ext uri="{FF2B5EF4-FFF2-40B4-BE49-F238E27FC236}">
              <a16:creationId xmlns:a16="http://schemas.microsoft.com/office/drawing/2014/main" id="{4A536140-A70A-51F8-DA34-EA12939ADCB9}"/>
            </a:ext>
          </a:extLst>
        </xdr:cNvPr>
        <xdr:cNvSpPr/>
      </xdr:nvSpPr>
      <xdr:spPr>
        <a:xfrm>
          <a:off x="38099" y="38100"/>
          <a:ext cx="3300414" cy="409575"/>
        </a:xfrm>
        <a:prstGeom prst="roundRect">
          <a:avLst>
            <a:gd name="adj" fmla="val 15686"/>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304802</xdr:colOff>
      <xdr:row>0</xdr:row>
      <xdr:rowOff>52386</xdr:rowOff>
    </xdr:from>
    <xdr:to>
      <xdr:col>7</xdr:col>
      <xdr:colOff>147638</xdr:colOff>
      <xdr:row>2</xdr:row>
      <xdr:rowOff>100011</xdr:rowOff>
    </xdr:to>
    <xdr:sp macro="" textlink="">
      <xdr:nvSpPr>
        <xdr:cNvPr id="3" name="Rectangle: Rounded Corners 2">
          <a:extLst>
            <a:ext uri="{FF2B5EF4-FFF2-40B4-BE49-F238E27FC236}">
              <a16:creationId xmlns:a16="http://schemas.microsoft.com/office/drawing/2014/main" id="{2A267792-39AD-41A6-8183-142D34B10C70}"/>
            </a:ext>
          </a:extLst>
        </xdr:cNvPr>
        <xdr:cNvSpPr/>
      </xdr:nvSpPr>
      <xdr:spPr>
        <a:xfrm>
          <a:off x="3352802" y="52386"/>
          <a:ext cx="1062036" cy="409575"/>
        </a:xfrm>
        <a:prstGeom prst="roundRect">
          <a:avLst>
            <a:gd name="adj" fmla="val 15686"/>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161924</xdr:colOff>
      <xdr:row>0</xdr:row>
      <xdr:rowOff>42862</xdr:rowOff>
    </xdr:from>
    <xdr:to>
      <xdr:col>9</xdr:col>
      <xdr:colOff>385761</xdr:colOff>
      <xdr:row>6</xdr:row>
      <xdr:rowOff>19049</xdr:rowOff>
    </xdr:to>
    <xdr:sp macro="" textlink="">
      <xdr:nvSpPr>
        <xdr:cNvPr id="4" name="Rectangle: Rounded Corners 3">
          <a:extLst>
            <a:ext uri="{FF2B5EF4-FFF2-40B4-BE49-F238E27FC236}">
              <a16:creationId xmlns:a16="http://schemas.microsoft.com/office/drawing/2014/main" id="{66F08F54-09A3-550D-0434-C30830EFC8C8}"/>
            </a:ext>
          </a:extLst>
        </xdr:cNvPr>
        <xdr:cNvSpPr/>
      </xdr:nvSpPr>
      <xdr:spPr>
        <a:xfrm>
          <a:off x="4429124" y="42862"/>
          <a:ext cx="1443037" cy="1062037"/>
        </a:xfrm>
        <a:prstGeom prst="roundRect">
          <a:avLst>
            <a:gd name="adj" fmla="val 6311"/>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400052</xdr:colOff>
      <xdr:row>0</xdr:row>
      <xdr:rowOff>52387</xdr:rowOff>
    </xdr:from>
    <xdr:to>
      <xdr:col>12</xdr:col>
      <xdr:colOff>4763</xdr:colOff>
      <xdr:row>6</xdr:row>
      <xdr:rowOff>19050</xdr:rowOff>
    </xdr:to>
    <xdr:sp macro="" textlink="">
      <xdr:nvSpPr>
        <xdr:cNvPr id="5" name="Rectangle: Rounded Corners 4">
          <a:extLst>
            <a:ext uri="{FF2B5EF4-FFF2-40B4-BE49-F238E27FC236}">
              <a16:creationId xmlns:a16="http://schemas.microsoft.com/office/drawing/2014/main" id="{CD5B147B-156E-B489-1CFF-8B7BC2C9F43B}"/>
            </a:ext>
          </a:extLst>
        </xdr:cNvPr>
        <xdr:cNvSpPr/>
      </xdr:nvSpPr>
      <xdr:spPr>
        <a:xfrm>
          <a:off x="5886452" y="52387"/>
          <a:ext cx="1433511" cy="1052513"/>
        </a:xfrm>
        <a:prstGeom prst="roundRect">
          <a:avLst>
            <a:gd name="adj" fmla="val 6311"/>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66676</xdr:colOff>
      <xdr:row>2</xdr:row>
      <xdr:rowOff>114300</xdr:rowOff>
    </xdr:from>
    <xdr:to>
      <xdr:col>1</xdr:col>
      <xdr:colOff>123826</xdr:colOff>
      <xdr:row>15</xdr:row>
      <xdr:rowOff>109536</xdr:rowOff>
    </xdr:to>
    <xdr:sp macro="" textlink="">
      <xdr:nvSpPr>
        <xdr:cNvPr id="6" name="Rectangle: Rounded Corners 5">
          <a:extLst>
            <a:ext uri="{FF2B5EF4-FFF2-40B4-BE49-F238E27FC236}">
              <a16:creationId xmlns:a16="http://schemas.microsoft.com/office/drawing/2014/main" id="{91FEBF3A-52C6-002D-FF2F-9B152874A0C3}"/>
            </a:ext>
          </a:extLst>
        </xdr:cNvPr>
        <xdr:cNvSpPr/>
      </xdr:nvSpPr>
      <xdr:spPr>
        <a:xfrm>
          <a:off x="66676" y="476250"/>
          <a:ext cx="666750" cy="2347911"/>
        </a:xfrm>
        <a:prstGeom prst="roundRect">
          <a:avLst>
            <a:gd name="adj" fmla="val 1091"/>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157163</xdr:colOff>
      <xdr:row>2</xdr:row>
      <xdr:rowOff>142877</xdr:rowOff>
    </xdr:from>
    <xdr:to>
      <xdr:col>3</xdr:col>
      <xdr:colOff>119220</xdr:colOff>
      <xdr:row>6</xdr:row>
      <xdr:rowOff>176212</xdr:rowOff>
    </xdr:to>
    <xdr:sp macro="" textlink="">
      <xdr:nvSpPr>
        <xdr:cNvPr id="7" name="Rectangle: Rounded Corners 6">
          <a:extLst>
            <a:ext uri="{FF2B5EF4-FFF2-40B4-BE49-F238E27FC236}">
              <a16:creationId xmlns:a16="http://schemas.microsoft.com/office/drawing/2014/main" id="{1F8A9418-AD23-37BB-59F6-BCC032C734F9}"/>
            </a:ext>
          </a:extLst>
        </xdr:cNvPr>
        <xdr:cNvSpPr/>
      </xdr:nvSpPr>
      <xdr:spPr>
        <a:xfrm>
          <a:off x="766763" y="504827"/>
          <a:ext cx="1181257" cy="757235"/>
        </a:xfrm>
        <a:prstGeom prst="roundRect">
          <a:avLst>
            <a:gd name="adj" fmla="val 2349"/>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sng"/>
        </a:p>
      </xdr:txBody>
    </xdr:sp>
    <xdr:clientData/>
  </xdr:twoCellAnchor>
  <xdr:twoCellAnchor>
    <xdr:from>
      <xdr:col>3</xdr:col>
      <xdr:colOff>160909</xdr:colOff>
      <xdr:row>2</xdr:row>
      <xdr:rowOff>142878</xdr:rowOff>
    </xdr:from>
    <xdr:to>
      <xdr:col>5</xdr:col>
      <xdr:colOff>122966</xdr:colOff>
      <xdr:row>6</xdr:row>
      <xdr:rowOff>176213</xdr:rowOff>
    </xdr:to>
    <xdr:sp macro="" textlink="">
      <xdr:nvSpPr>
        <xdr:cNvPr id="10" name="Rectangle: Rounded Corners 9">
          <a:extLst>
            <a:ext uri="{FF2B5EF4-FFF2-40B4-BE49-F238E27FC236}">
              <a16:creationId xmlns:a16="http://schemas.microsoft.com/office/drawing/2014/main" id="{5816FC6D-4017-C06A-CE9D-496A642DDB83}"/>
            </a:ext>
          </a:extLst>
        </xdr:cNvPr>
        <xdr:cNvSpPr/>
      </xdr:nvSpPr>
      <xdr:spPr>
        <a:xfrm>
          <a:off x="1989709" y="504828"/>
          <a:ext cx="1181257" cy="757235"/>
        </a:xfrm>
        <a:prstGeom prst="roundRect">
          <a:avLst>
            <a:gd name="adj" fmla="val 2349"/>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sng"/>
        </a:p>
      </xdr:txBody>
    </xdr:sp>
    <xdr:clientData/>
  </xdr:twoCellAnchor>
  <xdr:twoCellAnchor>
    <xdr:from>
      <xdr:col>5</xdr:col>
      <xdr:colOff>180818</xdr:colOff>
      <xdr:row>2</xdr:row>
      <xdr:rowOff>133352</xdr:rowOff>
    </xdr:from>
    <xdr:to>
      <xdr:col>7</xdr:col>
      <xdr:colOff>142875</xdr:colOff>
      <xdr:row>6</xdr:row>
      <xdr:rowOff>166687</xdr:rowOff>
    </xdr:to>
    <xdr:sp macro="" textlink="">
      <xdr:nvSpPr>
        <xdr:cNvPr id="11" name="Rectangle: Rounded Corners 10">
          <a:extLst>
            <a:ext uri="{FF2B5EF4-FFF2-40B4-BE49-F238E27FC236}">
              <a16:creationId xmlns:a16="http://schemas.microsoft.com/office/drawing/2014/main" id="{389D8478-B010-13B0-7D12-C6D8BAFC925D}"/>
            </a:ext>
          </a:extLst>
        </xdr:cNvPr>
        <xdr:cNvSpPr/>
      </xdr:nvSpPr>
      <xdr:spPr>
        <a:xfrm>
          <a:off x="3228818" y="495302"/>
          <a:ext cx="1181257" cy="757235"/>
        </a:xfrm>
        <a:prstGeom prst="roundRect">
          <a:avLst>
            <a:gd name="adj" fmla="val 2349"/>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161924</xdr:colOff>
      <xdr:row>9</xdr:row>
      <xdr:rowOff>123827</xdr:rowOff>
    </xdr:from>
    <xdr:to>
      <xdr:col>7</xdr:col>
      <xdr:colOff>128587</xdr:colOff>
      <xdr:row>15</xdr:row>
      <xdr:rowOff>138113</xdr:rowOff>
    </xdr:to>
    <xdr:sp macro="" textlink="">
      <xdr:nvSpPr>
        <xdr:cNvPr id="21" name="Rectangle: Rounded Corners 20">
          <a:extLst>
            <a:ext uri="{FF2B5EF4-FFF2-40B4-BE49-F238E27FC236}">
              <a16:creationId xmlns:a16="http://schemas.microsoft.com/office/drawing/2014/main" id="{D3DA1050-4738-2399-B48C-985C84D7E19A}"/>
            </a:ext>
          </a:extLst>
        </xdr:cNvPr>
        <xdr:cNvSpPr/>
      </xdr:nvSpPr>
      <xdr:spPr>
        <a:xfrm>
          <a:off x="771524" y="1752602"/>
          <a:ext cx="3624263" cy="1100136"/>
        </a:xfrm>
        <a:prstGeom prst="roundRect">
          <a:avLst>
            <a:gd name="adj" fmla="val 9268"/>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sng"/>
        </a:p>
      </xdr:txBody>
    </xdr:sp>
    <xdr:clientData/>
  </xdr:twoCellAnchor>
  <xdr:twoCellAnchor>
    <xdr:from>
      <xdr:col>0</xdr:col>
      <xdr:colOff>4763</xdr:colOff>
      <xdr:row>15</xdr:row>
      <xdr:rowOff>166687</xdr:rowOff>
    </xdr:from>
    <xdr:to>
      <xdr:col>13</xdr:col>
      <xdr:colOff>395288</xdr:colOff>
      <xdr:row>15</xdr:row>
      <xdr:rowOff>176212</xdr:rowOff>
    </xdr:to>
    <xdr:cxnSp macro="">
      <xdr:nvCxnSpPr>
        <xdr:cNvPr id="23" name="Straight Connector 22">
          <a:extLst>
            <a:ext uri="{FF2B5EF4-FFF2-40B4-BE49-F238E27FC236}">
              <a16:creationId xmlns:a16="http://schemas.microsoft.com/office/drawing/2014/main" id="{604CEC3F-A405-DD62-BADC-C2CC773AD20A}"/>
            </a:ext>
          </a:extLst>
        </xdr:cNvPr>
        <xdr:cNvCxnSpPr/>
      </xdr:nvCxnSpPr>
      <xdr:spPr>
        <a:xfrm>
          <a:off x="4763" y="2881312"/>
          <a:ext cx="8315325" cy="9525"/>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editAs="absolute">
    <xdr:from>
      <xdr:col>7</xdr:col>
      <xdr:colOff>176214</xdr:colOff>
      <xdr:row>6</xdr:row>
      <xdr:rowOff>38100</xdr:rowOff>
    </xdr:from>
    <xdr:to>
      <xdr:col>12</xdr:col>
      <xdr:colOff>14288</xdr:colOff>
      <xdr:row>15</xdr:row>
      <xdr:rowOff>142875</xdr:rowOff>
    </xdr:to>
    <xdr:sp macro="" textlink="">
      <xdr:nvSpPr>
        <xdr:cNvPr id="27" name="Rectangle: Rounded Corners 26">
          <a:extLst>
            <a:ext uri="{FF2B5EF4-FFF2-40B4-BE49-F238E27FC236}">
              <a16:creationId xmlns:a16="http://schemas.microsoft.com/office/drawing/2014/main" id="{2D08F3D3-6D7C-AE9A-9964-A0F46797BF2E}"/>
            </a:ext>
          </a:extLst>
        </xdr:cNvPr>
        <xdr:cNvSpPr/>
      </xdr:nvSpPr>
      <xdr:spPr>
        <a:xfrm>
          <a:off x="4443414" y="1123950"/>
          <a:ext cx="2886074" cy="1733550"/>
        </a:xfrm>
        <a:prstGeom prst="roundRect">
          <a:avLst>
            <a:gd name="adj" fmla="val 6311"/>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9525</xdr:colOff>
      <xdr:row>0</xdr:row>
      <xdr:rowOff>76201</xdr:rowOff>
    </xdr:from>
    <xdr:to>
      <xdr:col>5</xdr:col>
      <xdr:colOff>176213</xdr:colOff>
      <xdr:row>1</xdr:row>
      <xdr:rowOff>114301</xdr:rowOff>
    </xdr:to>
    <xdr:sp macro="" textlink="">
      <xdr:nvSpPr>
        <xdr:cNvPr id="30" name="TextBox 29">
          <a:extLst>
            <a:ext uri="{FF2B5EF4-FFF2-40B4-BE49-F238E27FC236}">
              <a16:creationId xmlns:a16="http://schemas.microsoft.com/office/drawing/2014/main" id="{CBA6C89C-1C85-C888-E0B2-0E769412C026}"/>
            </a:ext>
          </a:extLst>
        </xdr:cNvPr>
        <xdr:cNvSpPr txBox="1"/>
      </xdr:nvSpPr>
      <xdr:spPr>
        <a:xfrm>
          <a:off x="619125" y="76201"/>
          <a:ext cx="2605088"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Hospital</a:t>
          </a:r>
          <a:r>
            <a:rPr lang="en-IN" sz="1200" baseline="0"/>
            <a:t> Room Emergency Dashboard</a:t>
          </a:r>
          <a:endParaRPr lang="en-IN" sz="1200"/>
        </a:p>
      </xdr:txBody>
    </xdr:sp>
    <xdr:clientData/>
  </xdr:twoCellAnchor>
  <xdr:twoCellAnchor editAs="oneCell">
    <xdr:from>
      <xdr:col>0</xdr:col>
      <xdr:colOff>9525</xdr:colOff>
      <xdr:row>0</xdr:row>
      <xdr:rowOff>14686</xdr:rowOff>
    </xdr:from>
    <xdr:to>
      <xdr:col>1</xdr:col>
      <xdr:colOff>171450</xdr:colOff>
      <xdr:row>2</xdr:row>
      <xdr:rowOff>81105</xdr:rowOff>
    </xdr:to>
    <xdr:pic>
      <xdr:nvPicPr>
        <xdr:cNvPr id="32" name="Picture 31">
          <a:extLst>
            <a:ext uri="{FF2B5EF4-FFF2-40B4-BE49-F238E27FC236}">
              <a16:creationId xmlns:a16="http://schemas.microsoft.com/office/drawing/2014/main" id="{6DFD6E59-CA71-B64B-F261-C49651DE5F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14686"/>
          <a:ext cx="771525" cy="428369"/>
        </a:xfrm>
        <a:prstGeom prst="rect">
          <a:avLst/>
        </a:prstGeom>
      </xdr:spPr>
    </xdr:pic>
    <xdr:clientData/>
  </xdr:twoCellAnchor>
  <xdr:twoCellAnchor editAs="absolute">
    <xdr:from>
      <xdr:col>1</xdr:col>
      <xdr:colOff>452437</xdr:colOff>
      <xdr:row>1</xdr:row>
      <xdr:rowOff>47625</xdr:rowOff>
    </xdr:from>
    <xdr:to>
      <xdr:col>4</xdr:col>
      <xdr:colOff>266700</xdr:colOff>
      <xdr:row>2</xdr:row>
      <xdr:rowOff>38100</xdr:rowOff>
    </xdr:to>
    <xdr:sp macro="" textlink="">
      <xdr:nvSpPr>
        <xdr:cNvPr id="33" name="TextBox 32">
          <a:extLst>
            <a:ext uri="{FF2B5EF4-FFF2-40B4-BE49-F238E27FC236}">
              <a16:creationId xmlns:a16="http://schemas.microsoft.com/office/drawing/2014/main" id="{8E58533A-A95B-1047-0658-FAABFC543F7D}"/>
            </a:ext>
          </a:extLst>
        </xdr:cNvPr>
        <xdr:cNvSpPr txBox="1"/>
      </xdr:nvSpPr>
      <xdr:spPr>
        <a:xfrm>
          <a:off x="1062037" y="228600"/>
          <a:ext cx="1643063"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50"/>
            <a:t>Monthly</a:t>
          </a:r>
          <a:r>
            <a:rPr lang="en-IN" sz="1050" baseline="0"/>
            <a:t> Report</a:t>
          </a:r>
          <a:endParaRPr lang="en-IN" sz="1050"/>
        </a:p>
      </xdr:txBody>
    </xdr:sp>
    <xdr:clientData/>
  </xdr:twoCellAnchor>
  <xdr:twoCellAnchor editAs="absolute">
    <xdr:from>
      <xdr:col>1</xdr:col>
      <xdr:colOff>166688</xdr:colOff>
      <xdr:row>4</xdr:row>
      <xdr:rowOff>66675</xdr:rowOff>
    </xdr:from>
    <xdr:to>
      <xdr:col>3</xdr:col>
      <xdr:colOff>104776</xdr:colOff>
      <xdr:row>5</xdr:row>
      <xdr:rowOff>57150</xdr:rowOff>
    </xdr:to>
    <xdr:sp macro="" textlink="">
      <xdr:nvSpPr>
        <xdr:cNvPr id="35" name="TextBox 34">
          <a:extLst>
            <a:ext uri="{FF2B5EF4-FFF2-40B4-BE49-F238E27FC236}">
              <a16:creationId xmlns:a16="http://schemas.microsoft.com/office/drawing/2014/main" id="{6CE9E098-61FE-3D4A-B92E-0C7DFAB7DA3F}"/>
            </a:ext>
          </a:extLst>
        </xdr:cNvPr>
        <xdr:cNvSpPr txBox="1"/>
      </xdr:nvSpPr>
      <xdr:spPr>
        <a:xfrm>
          <a:off x="776288" y="790575"/>
          <a:ext cx="1157288"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Patients</a:t>
          </a:r>
          <a:endParaRPr lang="en-IN" sz="800"/>
        </a:p>
      </xdr:txBody>
    </xdr:sp>
    <xdr:clientData/>
  </xdr:twoCellAnchor>
  <xdr:twoCellAnchor editAs="absolute">
    <xdr:from>
      <xdr:col>1</xdr:col>
      <xdr:colOff>176213</xdr:colOff>
      <xdr:row>3</xdr:row>
      <xdr:rowOff>66675</xdr:rowOff>
    </xdr:from>
    <xdr:to>
      <xdr:col>3</xdr:col>
      <xdr:colOff>114301</xdr:colOff>
      <xdr:row>4</xdr:row>
      <xdr:rowOff>57150</xdr:rowOff>
    </xdr:to>
    <xdr:sp macro="" textlink="'Pivot Report'!A5">
      <xdr:nvSpPr>
        <xdr:cNvPr id="36" name="TextBox 35">
          <a:hlinkClick xmlns:r="http://schemas.openxmlformats.org/officeDocument/2006/relationships" r:id="rId2"/>
          <a:extLst>
            <a:ext uri="{FF2B5EF4-FFF2-40B4-BE49-F238E27FC236}">
              <a16:creationId xmlns:a16="http://schemas.microsoft.com/office/drawing/2014/main" id="{96012C9F-C210-39BD-2055-316DFC7D855D}"/>
            </a:ext>
          </a:extLst>
        </xdr:cNvPr>
        <xdr:cNvSpPr txBox="1"/>
      </xdr:nvSpPr>
      <xdr:spPr>
        <a:xfrm>
          <a:off x="785813" y="609600"/>
          <a:ext cx="1157288"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3B4FE04-A281-45FF-A150-D0D79827F36A}" type="TxLink">
            <a:rPr lang="en-US" sz="1100" b="0" i="0" u="none" strike="noStrike">
              <a:solidFill>
                <a:srgbClr val="000000"/>
              </a:solidFill>
              <a:latin typeface="Calibri"/>
              <a:ea typeface="Calibri"/>
              <a:cs typeface="Calibri"/>
            </a:rPr>
            <a:pPr algn="ctr"/>
            <a:t>464</a:t>
          </a:fld>
          <a:endParaRPr lang="en-US"/>
        </a:p>
      </xdr:txBody>
    </xdr:sp>
    <xdr:clientData/>
  </xdr:twoCellAnchor>
  <xdr:twoCellAnchor editAs="absolute">
    <xdr:from>
      <xdr:col>3</xdr:col>
      <xdr:colOff>176213</xdr:colOff>
      <xdr:row>4</xdr:row>
      <xdr:rowOff>66675</xdr:rowOff>
    </xdr:from>
    <xdr:to>
      <xdr:col>5</xdr:col>
      <xdr:colOff>114301</xdr:colOff>
      <xdr:row>5</xdr:row>
      <xdr:rowOff>57150</xdr:rowOff>
    </xdr:to>
    <xdr:sp macro="" textlink="">
      <xdr:nvSpPr>
        <xdr:cNvPr id="37" name="TextBox 36">
          <a:extLst>
            <a:ext uri="{FF2B5EF4-FFF2-40B4-BE49-F238E27FC236}">
              <a16:creationId xmlns:a16="http://schemas.microsoft.com/office/drawing/2014/main" id="{94DF3AD9-54FA-4B8D-6556-6841E7A6FB43}"/>
            </a:ext>
          </a:extLst>
        </xdr:cNvPr>
        <xdr:cNvSpPr txBox="1"/>
      </xdr:nvSpPr>
      <xdr:spPr>
        <a:xfrm>
          <a:off x="2005013" y="790575"/>
          <a:ext cx="1157288"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Average</a:t>
          </a:r>
          <a:r>
            <a:rPr lang="en-IN" sz="800" baseline="0"/>
            <a:t> Wait Time</a:t>
          </a:r>
          <a:endParaRPr lang="en-IN" sz="800"/>
        </a:p>
      </xdr:txBody>
    </xdr:sp>
    <xdr:clientData/>
  </xdr:twoCellAnchor>
  <xdr:twoCellAnchor editAs="absolute">
    <xdr:from>
      <xdr:col>3</xdr:col>
      <xdr:colOff>204788</xdr:colOff>
      <xdr:row>3</xdr:row>
      <xdr:rowOff>71438</xdr:rowOff>
    </xdr:from>
    <xdr:to>
      <xdr:col>5</xdr:col>
      <xdr:colOff>142876</xdr:colOff>
      <xdr:row>4</xdr:row>
      <xdr:rowOff>61913</xdr:rowOff>
    </xdr:to>
    <xdr:sp macro="" textlink="'Pivot Report'!A9">
      <xdr:nvSpPr>
        <xdr:cNvPr id="38" name="TextBox 37">
          <a:hlinkClick xmlns:r="http://schemas.openxmlformats.org/officeDocument/2006/relationships" r:id="rId3"/>
          <a:extLst>
            <a:ext uri="{FF2B5EF4-FFF2-40B4-BE49-F238E27FC236}">
              <a16:creationId xmlns:a16="http://schemas.microsoft.com/office/drawing/2014/main" id="{90B2DA8B-2CDD-AADB-DF6D-1372831E3201}"/>
            </a:ext>
          </a:extLst>
        </xdr:cNvPr>
        <xdr:cNvSpPr txBox="1"/>
      </xdr:nvSpPr>
      <xdr:spPr>
        <a:xfrm>
          <a:off x="2033588" y="614363"/>
          <a:ext cx="1157288"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CC57D86-C3E0-4CFD-96F9-053A76698837}" type="TxLink">
            <a:rPr lang="en-US" sz="1100" b="0" i="0" u="none" strike="noStrike">
              <a:solidFill>
                <a:srgbClr val="000000"/>
              </a:solidFill>
              <a:latin typeface="Calibri"/>
              <a:ea typeface="Calibri"/>
              <a:cs typeface="Calibri"/>
            </a:rPr>
            <a:pPr algn="ctr"/>
            <a:t>34.97</a:t>
          </a:fld>
          <a:endParaRPr lang="en-US"/>
        </a:p>
      </xdr:txBody>
    </xdr:sp>
    <xdr:clientData/>
  </xdr:twoCellAnchor>
  <xdr:twoCellAnchor editAs="absolute">
    <xdr:from>
      <xdr:col>5</xdr:col>
      <xdr:colOff>190501</xdr:colOff>
      <xdr:row>4</xdr:row>
      <xdr:rowOff>66675</xdr:rowOff>
    </xdr:from>
    <xdr:to>
      <xdr:col>7</xdr:col>
      <xdr:colOff>128589</xdr:colOff>
      <xdr:row>5</xdr:row>
      <xdr:rowOff>57150</xdr:rowOff>
    </xdr:to>
    <xdr:sp macro="" textlink="">
      <xdr:nvSpPr>
        <xdr:cNvPr id="39" name="TextBox 38">
          <a:extLst>
            <a:ext uri="{FF2B5EF4-FFF2-40B4-BE49-F238E27FC236}">
              <a16:creationId xmlns:a16="http://schemas.microsoft.com/office/drawing/2014/main" id="{F97AF2F3-4EFC-1480-7EA8-F52C313E3818}"/>
            </a:ext>
          </a:extLst>
        </xdr:cNvPr>
        <xdr:cNvSpPr txBox="1"/>
      </xdr:nvSpPr>
      <xdr:spPr>
        <a:xfrm>
          <a:off x="3238501" y="790575"/>
          <a:ext cx="1157288"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a:t>
          </a:r>
          <a:r>
            <a:rPr lang="en-IN" sz="800" baseline="0"/>
            <a:t> Satisfaction Score</a:t>
          </a:r>
          <a:endParaRPr lang="en-IN" sz="800"/>
        </a:p>
      </xdr:txBody>
    </xdr:sp>
    <xdr:clientData/>
  </xdr:twoCellAnchor>
  <xdr:twoCellAnchor editAs="absolute">
    <xdr:from>
      <xdr:col>5</xdr:col>
      <xdr:colOff>228601</xdr:colOff>
      <xdr:row>3</xdr:row>
      <xdr:rowOff>80963</xdr:rowOff>
    </xdr:from>
    <xdr:to>
      <xdr:col>7</xdr:col>
      <xdr:colOff>166689</xdr:colOff>
      <xdr:row>4</xdr:row>
      <xdr:rowOff>71438</xdr:rowOff>
    </xdr:to>
    <xdr:sp macro="" textlink="'Pivot Report'!A12">
      <xdr:nvSpPr>
        <xdr:cNvPr id="40" name="TextBox 39">
          <a:extLst>
            <a:ext uri="{FF2B5EF4-FFF2-40B4-BE49-F238E27FC236}">
              <a16:creationId xmlns:a16="http://schemas.microsoft.com/office/drawing/2014/main" id="{40802843-F767-A02D-D6D1-023A396A6FFB}"/>
            </a:ext>
          </a:extLst>
        </xdr:cNvPr>
        <xdr:cNvSpPr txBox="1"/>
      </xdr:nvSpPr>
      <xdr:spPr>
        <a:xfrm>
          <a:off x="3276601" y="623888"/>
          <a:ext cx="1157288"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EBA2931-92C6-4748-A54A-C331BC18B523}" type="TxLink">
            <a:rPr lang="en-US" sz="1100" b="0" i="0" u="none" strike="noStrike">
              <a:solidFill>
                <a:srgbClr val="000000"/>
              </a:solidFill>
              <a:latin typeface="Calibri"/>
              <a:ea typeface="Calibri"/>
              <a:cs typeface="Calibri"/>
            </a:rPr>
            <a:pPr algn="ctr"/>
            <a:t>4.88</a:t>
          </a:fld>
          <a:endParaRPr lang="en-US"/>
        </a:p>
      </xdr:txBody>
    </xdr:sp>
    <xdr:clientData/>
  </xdr:twoCellAnchor>
  <xdr:twoCellAnchor editAs="oneCell">
    <xdr:from>
      <xdr:col>2</xdr:col>
      <xdr:colOff>433388</xdr:colOff>
      <xdr:row>2</xdr:row>
      <xdr:rowOff>157162</xdr:rowOff>
    </xdr:from>
    <xdr:to>
      <xdr:col>3</xdr:col>
      <xdr:colOff>133351</xdr:colOff>
      <xdr:row>4</xdr:row>
      <xdr:rowOff>104775</xdr:rowOff>
    </xdr:to>
    <xdr:pic>
      <xdr:nvPicPr>
        <xdr:cNvPr id="44" name="Graphic 43" descr="Male profile with solid fill">
          <a:extLst>
            <a:ext uri="{FF2B5EF4-FFF2-40B4-BE49-F238E27FC236}">
              <a16:creationId xmlns:a16="http://schemas.microsoft.com/office/drawing/2014/main" id="{F1C84FD9-7811-C920-97F0-D1F7E641EF4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652588" y="519112"/>
          <a:ext cx="309563" cy="309563"/>
        </a:xfrm>
        <a:prstGeom prst="rect">
          <a:avLst/>
        </a:prstGeom>
      </xdr:spPr>
    </xdr:pic>
    <xdr:clientData/>
  </xdr:twoCellAnchor>
  <xdr:twoCellAnchor editAs="oneCell">
    <xdr:from>
      <xdr:col>6</xdr:col>
      <xdr:colOff>452438</xdr:colOff>
      <xdr:row>2</xdr:row>
      <xdr:rowOff>161923</xdr:rowOff>
    </xdr:from>
    <xdr:to>
      <xdr:col>7</xdr:col>
      <xdr:colOff>138115</xdr:colOff>
      <xdr:row>4</xdr:row>
      <xdr:rowOff>95250</xdr:rowOff>
    </xdr:to>
    <xdr:pic>
      <xdr:nvPicPr>
        <xdr:cNvPr id="46" name="Graphic 45" descr="Customer review with solid fill">
          <a:extLst>
            <a:ext uri="{FF2B5EF4-FFF2-40B4-BE49-F238E27FC236}">
              <a16:creationId xmlns:a16="http://schemas.microsoft.com/office/drawing/2014/main" id="{A6664AD8-D20A-3835-C30E-8CF624B9A7E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10038" y="523873"/>
          <a:ext cx="295277" cy="295277"/>
        </a:xfrm>
        <a:prstGeom prst="rect">
          <a:avLst/>
        </a:prstGeom>
      </xdr:spPr>
    </xdr:pic>
    <xdr:clientData/>
  </xdr:twoCellAnchor>
  <xdr:twoCellAnchor editAs="oneCell">
    <xdr:from>
      <xdr:col>4</xdr:col>
      <xdr:colOff>500062</xdr:colOff>
      <xdr:row>2</xdr:row>
      <xdr:rowOff>176213</xdr:rowOff>
    </xdr:from>
    <xdr:to>
      <xdr:col>5</xdr:col>
      <xdr:colOff>119063</xdr:colOff>
      <xdr:row>4</xdr:row>
      <xdr:rowOff>42864</xdr:rowOff>
    </xdr:to>
    <xdr:pic>
      <xdr:nvPicPr>
        <xdr:cNvPr id="48" name="Graphic 47" descr="Hourglass Finished with solid fill">
          <a:extLst>
            <a:ext uri="{FF2B5EF4-FFF2-40B4-BE49-F238E27FC236}">
              <a16:creationId xmlns:a16="http://schemas.microsoft.com/office/drawing/2014/main" id="{3A3DE6F0-D90F-AC3A-0D24-8ED4F4B38C1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938462" y="538163"/>
          <a:ext cx="228601" cy="228601"/>
        </a:xfrm>
        <a:prstGeom prst="rect">
          <a:avLst/>
        </a:prstGeom>
      </xdr:spPr>
    </xdr:pic>
    <xdr:clientData/>
  </xdr:twoCellAnchor>
  <xdr:twoCellAnchor editAs="oneCell">
    <xdr:from>
      <xdr:col>0</xdr:col>
      <xdr:colOff>104774</xdr:colOff>
      <xdr:row>3</xdr:row>
      <xdr:rowOff>23812</xdr:rowOff>
    </xdr:from>
    <xdr:to>
      <xdr:col>1</xdr:col>
      <xdr:colOff>100012</xdr:colOff>
      <xdr:row>15</xdr:row>
      <xdr:rowOff>95250</xdr:rowOff>
    </xdr:to>
    <mc:AlternateContent xmlns:mc="http://schemas.openxmlformats.org/markup-compatibility/2006" xmlns:a14="http://schemas.microsoft.com/office/drawing/2010/main">
      <mc:Choice Requires="a14">
        <xdr:graphicFrame macro="">
          <xdr:nvGraphicFramePr>
            <xdr:cNvPr id="49" name="Date (Month) 1">
              <a:extLst>
                <a:ext uri="{FF2B5EF4-FFF2-40B4-BE49-F238E27FC236}">
                  <a16:creationId xmlns:a16="http://schemas.microsoft.com/office/drawing/2014/main" id="{57842771-3AF6-451B-B70B-A8A2D8FC0081}"/>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04774" y="577994"/>
              <a:ext cx="604838" cy="2288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561975</xdr:colOff>
      <xdr:row>4</xdr:row>
      <xdr:rowOff>23813</xdr:rowOff>
    </xdr:from>
    <xdr:to>
      <xdr:col>3</xdr:col>
      <xdr:colOff>261937</xdr:colOff>
      <xdr:row>7</xdr:row>
      <xdr:rowOff>131311</xdr:rowOff>
    </xdr:to>
    <xdr:graphicFrame macro="">
      <xdr:nvGraphicFramePr>
        <xdr:cNvPr id="50" name="Chart 49">
          <a:extLst>
            <a:ext uri="{FF2B5EF4-FFF2-40B4-BE49-F238E27FC236}">
              <a16:creationId xmlns:a16="http://schemas.microsoft.com/office/drawing/2014/main" id="{B7E44381-F56A-46F7-A035-5024997D2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95252</xdr:colOff>
      <xdr:row>4</xdr:row>
      <xdr:rowOff>90487</xdr:rowOff>
    </xdr:from>
    <xdr:to>
      <xdr:col>5</xdr:col>
      <xdr:colOff>138113</xdr:colOff>
      <xdr:row>7</xdr:row>
      <xdr:rowOff>23811</xdr:rowOff>
    </xdr:to>
    <xdr:graphicFrame macro="">
      <xdr:nvGraphicFramePr>
        <xdr:cNvPr id="52" name="Chart 51">
          <a:extLst>
            <a:ext uri="{FF2B5EF4-FFF2-40B4-BE49-F238E27FC236}">
              <a16:creationId xmlns:a16="http://schemas.microsoft.com/office/drawing/2014/main" id="{72EF9ED9-D3C2-4070-9DB9-C92599CCD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47627</xdr:colOff>
      <xdr:row>3</xdr:row>
      <xdr:rowOff>80963</xdr:rowOff>
    </xdr:from>
    <xdr:to>
      <xdr:col>7</xdr:col>
      <xdr:colOff>280989</xdr:colOff>
      <xdr:row>7</xdr:row>
      <xdr:rowOff>128588</xdr:rowOff>
    </xdr:to>
    <xdr:graphicFrame macro="">
      <xdr:nvGraphicFramePr>
        <xdr:cNvPr id="53" name="Chart 52">
          <a:hlinkClick xmlns:r="http://schemas.openxmlformats.org/officeDocument/2006/relationships" r:id="rId12"/>
          <a:extLst>
            <a:ext uri="{FF2B5EF4-FFF2-40B4-BE49-F238E27FC236}">
              <a16:creationId xmlns:a16="http://schemas.microsoft.com/office/drawing/2014/main" id="{61C86119-BE03-490C-BB12-28A28472A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161925</xdr:colOff>
          <xdr:row>7</xdr:row>
          <xdr:rowOff>42864</xdr:rowOff>
        </xdr:from>
        <xdr:to>
          <xdr:col>7</xdr:col>
          <xdr:colOff>128588</xdr:colOff>
          <xdr:row>9</xdr:row>
          <xdr:rowOff>85726</xdr:rowOff>
        </xdr:to>
        <xdr:pic>
          <xdr:nvPicPr>
            <xdr:cNvPr id="60" name="Picture 59">
              <a:extLst>
                <a:ext uri="{FF2B5EF4-FFF2-40B4-BE49-F238E27FC236}">
                  <a16:creationId xmlns:a16="http://schemas.microsoft.com/office/drawing/2014/main" id="{F7CB9CB6-393E-5858-1E8A-882D08BDDACD}"/>
                </a:ext>
              </a:extLst>
            </xdr:cNvPr>
            <xdr:cNvPicPr>
              <a:picLocks noChangeAspect="1" noChangeArrowheads="1"/>
              <a:extLst>
                <a:ext uri="{84589F7E-364E-4C9E-8A38-B11213B215E9}">
                  <a14:cameraTool cellRange="'Pivot Report'!$A$45:$D$47" spid="_x0000_s2066"/>
                </a:ext>
              </a:extLst>
            </xdr:cNvPicPr>
          </xdr:nvPicPr>
          <xdr:blipFill>
            <a:blip xmlns:r="http://schemas.openxmlformats.org/officeDocument/2006/relationships" r:embed="rId14"/>
            <a:srcRect/>
            <a:stretch>
              <a:fillRect/>
            </a:stretch>
          </xdr:blipFill>
          <xdr:spPr bwMode="auto">
            <a:xfrm>
              <a:off x="771525" y="1309689"/>
              <a:ext cx="3624263" cy="404812"/>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161926</xdr:colOff>
      <xdr:row>9</xdr:row>
      <xdr:rowOff>19050</xdr:rowOff>
    </xdr:from>
    <xdr:to>
      <xdr:col>7</xdr:col>
      <xdr:colOff>104776</xdr:colOff>
      <xdr:row>15</xdr:row>
      <xdr:rowOff>129270</xdr:rowOff>
    </xdr:to>
    <xdr:graphicFrame macro="">
      <xdr:nvGraphicFramePr>
        <xdr:cNvPr id="61" name="Chart 60">
          <a:extLst>
            <a:ext uri="{FF2B5EF4-FFF2-40B4-BE49-F238E27FC236}">
              <a16:creationId xmlns:a16="http://schemas.microsoft.com/office/drawing/2014/main" id="{7E40E275-E03D-4298-A854-85831B9FD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128591</xdr:colOff>
      <xdr:row>0</xdr:row>
      <xdr:rowOff>0</xdr:rowOff>
    </xdr:from>
    <xdr:to>
      <xdr:col>9</xdr:col>
      <xdr:colOff>533401</xdr:colOff>
      <xdr:row>6</xdr:row>
      <xdr:rowOff>157162</xdr:rowOff>
    </xdr:to>
    <xdr:graphicFrame macro="">
      <xdr:nvGraphicFramePr>
        <xdr:cNvPr id="62" name="Chart 61">
          <a:extLst>
            <a:ext uri="{FF2B5EF4-FFF2-40B4-BE49-F238E27FC236}">
              <a16:creationId xmlns:a16="http://schemas.microsoft.com/office/drawing/2014/main" id="{35A9BDC4-76EF-48D0-89A0-23668737D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128589</xdr:colOff>
      <xdr:row>4</xdr:row>
      <xdr:rowOff>152400</xdr:rowOff>
    </xdr:from>
    <xdr:to>
      <xdr:col>9</xdr:col>
      <xdr:colOff>466727</xdr:colOff>
      <xdr:row>5</xdr:row>
      <xdr:rowOff>157163</xdr:rowOff>
    </xdr:to>
    <xdr:sp macro="" textlink="">
      <xdr:nvSpPr>
        <xdr:cNvPr id="65" name="TextBox 1">
          <a:extLst>
            <a:ext uri="{FF2B5EF4-FFF2-40B4-BE49-F238E27FC236}">
              <a16:creationId xmlns:a16="http://schemas.microsoft.com/office/drawing/2014/main" id="{61277B51-44E6-9A1D-3819-C05BB9A3AC78}"/>
            </a:ext>
          </a:extLst>
        </xdr:cNvPr>
        <xdr:cNvSpPr txBox="1"/>
      </xdr:nvSpPr>
      <xdr:spPr>
        <a:xfrm>
          <a:off x="4395789" y="876300"/>
          <a:ext cx="1557338" cy="185738"/>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IN" sz="900" b="1" kern="1200"/>
            <a:t>Patient</a:t>
          </a:r>
          <a:r>
            <a:rPr lang="en-IN" sz="900" b="1" kern="1200" baseline="0"/>
            <a:t> Attend Status</a:t>
          </a:r>
          <a:endParaRPr lang="en-IN" sz="900" b="1" kern="1200"/>
        </a:p>
      </xdr:txBody>
    </xdr:sp>
    <xdr:clientData/>
  </xdr:twoCellAnchor>
  <xdr:twoCellAnchor>
    <xdr:from>
      <xdr:col>9</xdr:col>
      <xdr:colOff>461965</xdr:colOff>
      <xdr:row>0</xdr:row>
      <xdr:rowOff>0</xdr:rowOff>
    </xdr:from>
    <xdr:to>
      <xdr:col>11</xdr:col>
      <xdr:colOff>552450</xdr:colOff>
      <xdr:row>6</xdr:row>
      <xdr:rowOff>23813</xdr:rowOff>
    </xdr:to>
    <xdr:graphicFrame macro="">
      <xdr:nvGraphicFramePr>
        <xdr:cNvPr id="66" name="Chart 65">
          <a:extLst>
            <a:ext uri="{FF2B5EF4-FFF2-40B4-BE49-F238E27FC236}">
              <a16:creationId xmlns:a16="http://schemas.microsoft.com/office/drawing/2014/main" id="{A3C8277B-3453-4043-BA97-1D4D4D55B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352427</xdr:colOff>
      <xdr:row>4</xdr:row>
      <xdr:rowOff>171450</xdr:rowOff>
    </xdr:from>
    <xdr:to>
      <xdr:col>12</xdr:col>
      <xdr:colOff>80965</xdr:colOff>
      <xdr:row>5</xdr:row>
      <xdr:rowOff>176213</xdr:rowOff>
    </xdr:to>
    <xdr:sp macro="" textlink="">
      <xdr:nvSpPr>
        <xdr:cNvPr id="67" name="TextBox 1">
          <a:extLst>
            <a:ext uri="{FF2B5EF4-FFF2-40B4-BE49-F238E27FC236}">
              <a16:creationId xmlns:a16="http://schemas.microsoft.com/office/drawing/2014/main" id="{D1EF147C-1C61-49B8-A724-6076C5C3D8C3}"/>
            </a:ext>
          </a:extLst>
        </xdr:cNvPr>
        <xdr:cNvSpPr txBox="1"/>
      </xdr:nvSpPr>
      <xdr:spPr>
        <a:xfrm>
          <a:off x="5838827" y="895350"/>
          <a:ext cx="1557338" cy="185738"/>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IN" sz="900" b="1" kern="1200"/>
            <a:t>Gender</a:t>
          </a:r>
          <a:r>
            <a:rPr lang="en-IN" sz="900" b="1" kern="1200" baseline="0"/>
            <a:t>-wise analysis</a:t>
          </a:r>
          <a:endParaRPr lang="en-IN" sz="900" b="1" kern="1200"/>
        </a:p>
      </xdr:txBody>
    </xdr:sp>
    <xdr:clientData/>
  </xdr:twoCellAnchor>
  <xdr:twoCellAnchor>
    <xdr:from>
      <xdr:col>7</xdr:col>
      <xdr:colOff>128590</xdr:colOff>
      <xdr:row>6</xdr:row>
      <xdr:rowOff>38101</xdr:rowOff>
    </xdr:from>
    <xdr:to>
      <xdr:col>11</xdr:col>
      <xdr:colOff>509588</xdr:colOff>
      <xdr:row>15</xdr:row>
      <xdr:rowOff>66676</xdr:rowOff>
    </xdr:to>
    <xdr:graphicFrame macro="">
      <xdr:nvGraphicFramePr>
        <xdr:cNvPr id="68" name="Chart 67">
          <a:extLst>
            <a:ext uri="{FF2B5EF4-FFF2-40B4-BE49-F238E27FC236}">
              <a16:creationId xmlns:a16="http://schemas.microsoft.com/office/drawing/2014/main" id="{6D01274B-9799-4062-AEE3-1E021C485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5</xdr:col>
      <xdr:colOff>304803</xdr:colOff>
      <xdr:row>0</xdr:row>
      <xdr:rowOff>52387</xdr:rowOff>
    </xdr:from>
    <xdr:to>
      <xdr:col>7</xdr:col>
      <xdr:colOff>104775</xdr:colOff>
      <xdr:row>2</xdr:row>
      <xdr:rowOff>85725</xdr:rowOff>
    </xdr:to>
    <mc:AlternateContent xmlns:mc="http://schemas.openxmlformats.org/markup-compatibility/2006" xmlns:a14="http://schemas.microsoft.com/office/drawing/2010/main">
      <mc:Choice Requires="a14">
        <xdr:graphicFrame macro="">
          <xdr:nvGraphicFramePr>
            <xdr:cNvPr id="69" name="Date (Year)">
              <a:extLst>
                <a:ext uri="{FF2B5EF4-FFF2-40B4-BE49-F238E27FC236}">
                  <a16:creationId xmlns:a16="http://schemas.microsoft.com/office/drawing/2014/main" id="{D1C0C7CF-D083-4447-B0E3-91E7FB12524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52803" y="52387"/>
              <a:ext cx="1019172" cy="4027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100011</xdr:colOff>
      <xdr:row>2</xdr:row>
      <xdr:rowOff>157162</xdr:rowOff>
    </xdr:from>
    <xdr:to>
      <xdr:col>1</xdr:col>
      <xdr:colOff>95249</xdr:colOff>
      <xdr:row>15</xdr:row>
      <xdr:rowOff>47625</xdr:rowOff>
    </xdr:to>
    <mc:AlternateContent xmlns:mc="http://schemas.openxmlformats.org/markup-compatibility/2006" xmlns:a14="http://schemas.microsoft.com/office/drawing/2010/main">
      <mc:Choice Requires="a14">
        <xdr:graphicFrame macro="">
          <xdr:nvGraphicFramePr>
            <xdr:cNvPr id="71" name="Date (Month) 2">
              <a:extLst>
                <a:ext uri="{FF2B5EF4-FFF2-40B4-BE49-F238E27FC236}">
                  <a16:creationId xmlns:a16="http://schemas.microsoft.com/office/drawing/2014/main" id="{D76B4EC6-6D2A-82C2-965C-FE9EE1BA6C88}"/>
                </a:ext>
              </a:extLst>
            </xdr:cNvPr>
            <xdr:cNvGraphicFramePr/>
          </xdr:nvGraphicFramePr>
          <xdr:xfrm>
            <a:off x="0" y="0"/>
            <a:ext cx="0" cy="0"/>
          </xdr:xfrm>
          <a:graphic>
            <a:graphicData uri="http://schemas.microsoft.com/office/drawing/2010/slicer">
              <sle:slicer xmlns:sle="http://schemas.microsoft.com/office/drawing/2010/slicer" name="Date (Month) 2"/>
            </a:graphicData>
          </a:graphic>
        </xdr:graphicFrame>
      </mc:Choice>
      <mc:Fallback xmlns="">
        <xdr:sp macro="" textlink="">
          <xdr:nvSpPr>
            <xdr:cNvPr id="0" name=""/>
            <xdr:cNvSpPr>
              <a:spLocks noTextEdit="1"/>
            </xdr:cNvSpPr>
          </xdr:nvSpPr>
          <xdr:spPr>
            <a:xfrm>
              <a:off x="100011" y="526617"/>
              <a:ext cx="604838" cy="2291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0.2791</cdr:x>
      <cdr:y>0.80432</cdr:y>
    </cdr:from>
    <cdr:to>
      <cdr:x>0.71164</cdr:x>
      <cdr:y>0.95961</cdr:y>
    </cdr:to>
    <cdr:sp macro="" textlink="">
      <cdr:nvSpPr>
        <cdr:cNvPr id="3" name="TextBox 2">
          <a:extLst xmlns:a="http://schemas.openxmlformats.org/drawingml/2006/main">
            <a:ext uri="{FF2B5EF4-FFF2-40B4-BE49-F238E27FC236}">
              <a16:creationId xmlns:a16="http://schemas.microsoft.com/office/drawing/2014/main" id="{8D82479B-26C6-97E8-9E11-756E5414EC3C}"/>
            </a:ext>
          </a:extLst>
        </cdr:cNvPr>
        <cdr:cNvSpPr txBox="1"/>
      </cdr:nvSpPr>
      <cdr:spPr>
        <a:xfrm xmlns:a="http://schemas.openxmlformats.org/drawingml/2006/main">
          <a:off x="1004887" y="962025"/>
          <a:ext cx="1557338" cy="1857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800" b="1" kern="1200"/>
            <a:t>NO.</a:t>
          </a:r>
          <a:r>
            <a:rPr lang="en-IN" sz="800" b="1" kern="1200" baseline="0"/>
            <a:t> OF PATIENT BY AGE GROUP</a:t>
          </a:r>
          <a:endParaRPr lang="en-IN" sz="800" b="1" kern="1200"/>
        </a:p>
      </cdr:txBody>
    </cdr:sp>
  </cdr:relSizeAnchor>
</c:userShapes>
</file>

<file path=xl/drawings/drawing4.xml><?xml version="1.0" encoding="utf-8"?>
<c:userShapes xmlns:c="http://schemas.openxmlformats.org/drawingml/2006/chart">
  <cdr:relSizeAnchor xmlns:cdr="http://schemas.openxmlformats.org/drawingml/2006/chartDrawing">
    <cdr:from>
      <cdr:x>0.06419</cdr:x>
      <cdr:y>0.88793</cdr:y>
    </cdr:from>
    <cdr:to>
      <cdr:x>0.95439</cdr:x>
      <cdr:y>1</cdr:y>
    </cdr:to>
    <cdr:sp macro="" textlink="">
      <cdr:nvSpPr>
        <cdr:cNvPr id="3" name="TextBox 1">
          <a:extLst xmlns:a="http://schemas.openxmlformats.org/drawingml/2006/main">
            <a:ext uri="{FF2B5EF4-FFF2-40B4-BE49-F238E27FC236}">
              <a16:creationId xmlns:a16="http://schemas.microsoft.com/office/drawing/2014/main" id="{D1EF147C-1C61-49B8-A724-6076C5C3D8C3}"/>
            </a:ext>
          </a:extLst>
        </cdr:cNvPr>
        <cdr:cNvSpPr txBox="1"/>
      </cdr:nvSpPr>
      <cdr:spPr>
        <a:xfrm xmlns:a="http://schemas.openxmlformats.org/drawingml/2006/main">
          <a:off x="180973" y="1471612"/>
          <a:ext cx="2509837" cy="18573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IN" sz="900" b="1" kern="1200"/>
            <a:t>No.</a:t>
          </a:r>
          <a:r>
            <a:rPr lang="en-IN" sz="900" b="1" kern="1200" baseline="0"/>
            <a:t> Of Patient by Department Referal</a:t>
          </a:r>
          <a:endParaRPr lang="en-IN" sz="900" b="1" kern="1200"/>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419100</xdr:colOff>
      <xdr:row>2</xdr:row>
      <xdr:rowOff>0</xdr:rowOff>
    </xdr:from>
    <xdr:to>
      <xdr:col>14</xdr:col>
      <xdr:colOff>25400</xdr:colOff>
      <xdr:row>18</xdr:row>
      <xdr:rowOff>46893</xdr:rowOff>
    </xdr:to>
    <xdr:graphicFrame macro="">
      <xdr:nvGraphicFramePr>
        <xdr:cNvPr id="2" name="Chart 1">
          <a:extLst>
            <a:ext uri="{FF2B5EF4-FFF2-40B4-BE49-F238E27FC236}">
              <a16:creationId xmlns:a16="http://schemas.microsoft.com/office/drawing/2014/main" id="{C0660767-E6CA-4DE2-8D82-DFFDCBB3E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404446</xdr:colOff>
      <xdr:row>18</xdr:row>
      <xdr:rowOff>111370</xdr:rowOff>
    </xdr:from>
    <xdr:to>
      <xdr:col>13</xdr:col>
      <xdr:colOff>603738</xdr:colOff>
      <xdr:row>20</xdr:row>
      <xdr:rowOff>76200</xdr:rowOff>
    </xdr:to>
    <xdr:sp macro="" textlink="">
      <xdr:nvSpPr>
        <xdr:cNvPr id="3" name="TextBox 2">
          <a:extLst>
            <a:ext uri="{FF2B5EF4-FFF2-40B4-BE49-F238E27FC236}">
              <a16:creationId xmlns:a16="http://schemas.microsoft.com/office/drawing/2014/main" id="{FB5C817D-B594-0353-0FC6-C7E4EBF1632C}"/>
            </a:ext>
          </a:extLst>
        </xdr:cNvPr>
        <xdr:cNvSpPr txBox="1"/>
      </xdr:nvSpPr>
      <xdr:spPr>
        <a:xfrm>
          <a:off x="404446" y="3382108"/>
          <a:ext cx="8124092" cy="328246"/>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Using</a:t>
          </a:r>
          <a:r>
            <a:rPr lang="en-IN" sz="1200" b="1" baseline="0"/>
            <a:t> an area chart to track daily changes and highlight days with longer wait times that might need improvements</a:t>
          </a:r>
          <a:endParaRPr lang="en-IN" sz="1200" b="1"/>
        </a:p>
      </xdr:txBody>
    </xdr:sp>
    <xdr:clientData/>
  </xdr:twoCellAnchor>
  <xdr:twoCellAnchor editAs="oneCell">
    <xdr:from>
      <xdr:col>14</xdr:col>
      <xdr:colOff>287216</xdr:colOff>
      <xdr:row>0</xdr:row>
      <xdr:rowOff>175846</xdr:rowOff>
    </xdr:from>
    <xdr:to>
      <xdr:col>15</xdr:col>
      <xdr:colOff>375139</xdr:colOff>
      <xdr:row>4</xdr:row>
      <xdr:rowOff>128954</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9D7425D2-8B49-E2C8-D054-828A03E16EF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821616" y="175846"/>
          <a:ext cx="697523" cy="69752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434340</xdr:colOff>
      <xdr:row>1</xdr:row>
      <xdr:rowOff>76200</xdr:rowOff>
    </xdr:from>
    <xdr:to>
      <xdr:col>14</xdr:col>
      <xdr:colOff>472440</xdr:colOff>
      <xdr:row>17</xdr:row>
      <xdr:rowOff>30480</xdr:rowOff>
    </xdr:to>
    <xdr:graphicFrame macro="">
      <xdr:nvGraphicFramePr>
        <xdr:cNvPr id="2" name="Chart 1">
          <a:extLst>
            <a:ext uri="{FF2B5EF4-FFF2-40B4-BE49-F238E27FC236}">
              <a16:creationId xmlns:a16="http://schemas.microsoft.com/office/drawing/2014/main" id="{09E6E232-8627-4E20-BAE6-7E8A12A11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412750</xdr:colOff>
      <xdr:row>17</xdr:row>
      <xdr:rowOff>82550</xdr:rowOff>
    </xdr:from>
    <xdr:to>
      <xdr:col>14</xdr:col>
      <xdr:colOff>463550</xdr:colOff>
      <xdr:row>19</xdr:row>
      <xdr:rowOff>63500</xdr:rowOff>
    </xdr:to>
    <xdr:sp macro="" textlink="">
      <xdr:nvSpPr>
        <xdr:cNvPr id="3" name="TextBox 2">
          <a:extLst>
            <a:ext uri="{FF2B5EF4-FFF2-40B4-BE49-F238E27FC236}">
              <a16:creationId xmlns:a16="http://schemas.microsoft.com/office/drawing/2014/main" id="{6A86D510-3FA9-789B-0FC3-85F805E83989}"/>
            </a:ext>
          </a:extLst>
        </xdr:cNvPr>
        <xdr:cNvSpPr txBox="1"/>
      </xdr:nvSpPr>
      <xdr:spPr>
        <a:xfrm>
          <a:off x="412750" y="3403600"/>
          <a:ext cx="8585200" cy="3492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Showing</a:t>
          </a:r>
          <a:r>
            <a:rPr lang="en-IN" sz="1400" b="1" baseline="0"/>
            <a:t> a daily trend with an area sparkline to spot patterns like busy days or seasonal trends</a:t>
          </a:r>
          <a:endParaRPr lang="en-IN" sz="1400" b="1"/>
        </a:p>
      </xdr:txBody>
    </xdr:sp>
    <xdr:clientData/>
  </xdr:twoCellAnchor>
  <xdr:twoCellAnchor editAs="oneCell">
    <xdr:from>
      <xdr:col>15</xdr:col>
      <xdr:colOff>63500</xdr:colOff>
      <xdr:row>0</xdr:row>
      <xdr:rowOff>152400</xdr:rowOff>
    </xdr:from>
    <xdr:to>
      <xdr:col>16</xdr:col>
      <xdr:colOff>273050</xdr:colOff>
      <xdr:row>4</xdr:row>
      <xdr:rowOff>184150</xdr:rowOff>
    </xdr:to>
    <xdr:pic>
      <xdr:nvPicPr>
        <xdr:cNvPr id="5" name="Graphic 4" descr="House with solid fill">
          <a:hlinkClick xmlns:r="http://schemas.openxmlformats.org/officeDocument/2006/relationships" r:id="rId2"/>
          <a:extLst>
            <a:ext uri="{FF2B5EF4-FFF2-40B4-BE49-F238E27FC236}">
              <a16:creationId xmlns:a16="http://schemas.microsoft.com/office/drawing/2014/main" id="{41AF2CD8-F83C-2D1F-4886-C81BFA94AE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207500" y="152400"/>
          <a:ext cx="819150" cy="8191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404446</xdr:colOff>
      <xdr:row>18</xdr:row>
      <xdr:rowOff>111370</xdr:rowOff>
    </xdr:from>
    <xdr:to>
      <xdr:col>13</xdr:col>
      <xdr:colOff>603738</xdr:colOff>
      <xdr:row>20</xdr:row>
      <xdr:rowOff>76200</xdr:rowOff>
    </xdr:to>
    <xdr:sp macro="" textlink="">
      <xdr:nvSpPr>
        <xdr:cNvPr id="3" name="TextBox 2">
          <a:extLst>
            <a:ext uri="{FF2B5EF4-FFF2-40B4-BE49-F238E27FC236}">
              <a16:creationId xmlns:a16="http://schemas.microsoft.com/office/drawing/2014/main" id="{C129E493-28D5-412B-B86A-4D1364BFEEB9}"/>
            </a:ext>
          </a:extLst>
        </xdr:cNvPr>
        <xdr:cNvSpPr txBox="1"/>
      </xdr:nvSpPr>
      <xdr:spPr>
        <a:xfrm>
          <a:off x="404446" y="3418450"/>
          <a:ext cx="8124092" cy="33059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Using</a:t>
          </a:r>
          <a:r>
            <a:rPr lang="en-IN" sz="1200" b="1" baseline="0"/>
            <a:t> an area chart to show trends, spot drops in satisfaction, and link them to busy times or challenges.</a:t>
          </a:r>
          <a:endParaRPr lang="en-IN" sz="1200" b="1"/>
        </a:p>
      </xdr:txBody>
    </xdr:sp>
    <xdr:clientData/>
  </xdr:twoCellAnchor>
  <xdr:twoCellAnchor editAs="oneCell">
    <xdr:from>
      <xdr:col>14</xdr:col>
      <xdr:colOff>287216</xdr:colOff>
      <xdr:row>0</xdr:row>
      <xdr:rowOff>175846</xdr:rowOff>
    </xdr:from>
    <xdr:to>
      <xdr:col>15</xdr:col>
      <xdr:colOff>375139</xdr:colOff>
      <xdr:row>4</xdr:row>
      <xdr:rowOff>128954</xdr:rowOff>
    </xdr:to>
    <xdr:pic>
      <xdr:nvPicPr>
        <xdr:cNvPr id="4" name="Graphic 3" descr="Home with solid fill">
          <a:hlinkClick xmlns:r="http://schemas.openxmlformats.org/officeDocument/2006/relationships" r:id="rId1"/>
          <a:extLst>
            <a:ext uri="{FF2B5EF4-FFF2-40B4-BE49-F238E27FC236}">
              <a16:creationId xmlns:a16="http://schemas.microsoft.com/office/drawing/2014/main" id="{747CB782-3683-4E2B-8D25-DDB5DDF97DD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821616" y="175846"/>
          <a:ext cx="697523" cy="699868"/>
        </a:xfrm>
        <a:prstGeom prst="rect">
          <a:avLst/>
        </a:prstGeom>
      </xdr:spPr>
    </xdr:pic>
    <xdr:clientData/>
  </xdr:twoCellAnchor>
  <xdr:twoCellAnchor>
    <xdr:from>
      <xdr:col>0</xdr:col>
      <xdr:colOff>386862</xdr:colOff>
      <xdr:row>1</xdr:row>
      <xdr:rowOff>111369</xdr:rowOff>
    </xdr:from>
    <xdr:to>
      <xdr:col>14</xdr:col>
      <xdr:colOff>0</xdr:colOff>
      <xdr:row>17</xdr:row>
      <xdr:rowOff>0</xdr:rowOff>
    </xdr:to>
    <xdr:graphicFrame macro="">
      <xdr:nvGraphicFramePr>
        <xdr:cNvPr id="5" name="Chart 4">
          <a:extLst>
            <a:ext uri="{FF2B5EF4-FFF2-40B4-BE49-F238E27FC236}">
              <a16:creationId xmlns:a16="http://schemas.microsoft.com/office/drawing/2014/main" id="{8F132CC2-A91B-452C-857D-EF13F306C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MISHRA" refreshedDate="46120.776496643521" createdVersion="5" refreshedVersion="8" minRefreshableVersion="3" recordCount="0" supportSubquery="1" supportAdvancedDrill="1" xr:uid="{DD3E6C5E-4DA0-4490-BCD4-B75D5AE8B12C}">
  <cacheSource type="external" connectionId="3"/>
  <cacheFields count="3">
    <cacheField name="[Measures].[Distinct Count of Patient Id]" caption="Distinct Count of Patient Id" numFmtId="0" hierarchy="24" level="32767"/>
    <cacheField name="[Calendar 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 Table].[Date (Month)].[Date (Month)]" caption="Date (Month)" numFmtId="0" hierarchy="1"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Calendar Table].[Date (Year)]" caption="Date (Year)" attribute="1" defaultMemberUniqueName="[Calendar Table].[Date (Year)].[All]" allUniqueName="[Calendar Table].[Date (Year)].[All]" dimensionUniqueName="[Calendar Table]" displayFolder="" count="0"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MISHRA" refreshedDate="46120.776497453706" createdVersion="5" refreshedVersion="8" minRefreshableVersion="3" recordCount="0" supportSubquery="1" supportAdvancedDrill="1" xr:uid="{8A872E5D-8812-4170-BFEB-33A95989EEC5}">
  <cacheSource type="external" connectionId="3"/>
  <cacheFields count="3">
    <cacheField name="[Measures].[Distinct Count of Patient Id]" caption="Distinct Count of Patient Id" numFmtId="0" hierarchy="24" level="32767"/>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2"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1"/>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MISHRA" refreshedDate="46120.776497916668" createdVersion="5" refreshedVersion="8" minRefreshableVersion="3" recordCount="0" supportSubquery="1" supportAdvancedDrill="1" xr:uid="{D244A768-C7EA-4E10-B586-AD0CFF19F4D7}">
  <cacheSource type="external" connectionId="3"/>
  <cacheFields count="2">
    <cacheField name="[Measures].[Average of Patient Waittime]" caption="Average of Patient Waittime" numFmtId="0" hierarchy="26" level="32767"/>
    <cacheField name="[Calendar Table].[Date (Month)].[Date (Month)]" caption="Date (Month)" numFmtId="0" hierarchy="1"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0"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MISHRA" refreshedDate="46120.776498726853" createdVersion="5" refreshedVersion="8" minRefreshableVersion="3" recordCount="0" supportSubquery="1" supportAdvancedDrill="1" xr:uid="{E144F58C-E5A4-419F-9C44-2FD84D93CCB4}">
  <cacheSource type="external" connectionId="3"/>
  <cacheFields count="2">
    <cacheField name="[Calenda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4">
    <cacheHierarchy uniqueName="[Calendar Table].[Date]" caption="Date" attribute="1" time="1" defaultMemberUniqueName="[Calendar Table].[Date].[All]" allUniqueName="[Calendar Table].[Date].[All]" dimensionUniqueName="[Calendar Table]" displayFolder="" count="2"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MISHRA" refreshedDate="46120.7765" createdVersion="5" refreshedVersion="8" minRefreshableVersion="3" recordCount="0" supportSubquery="1" supportAdvancedDrill="1" xr:uid="{4A5335C0-41C1-47AC-9F45-51FB9B851509}">
  <cacheSource type="external" connectionId="3"/>
  <cacheFields count="3">
    <cacheField name="[Calendar 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0"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MISHRA" refreshedDate="46120.776501157408" createdVersion="5" refreshedVersion="8" minRefreshableVersion="3" recordCount="0" supportSubquery="1" supportAdvancedDrill="1" xr:uid="{09B58F09-674B-49FE-8C58-E69635C529D3}">
  <cacheSource type="external" connectionId="3"/>
  <cacheFields count="3">
    <cacheField name="[Calendar 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0"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MISHRA" refreshedDate="46120.776502199071" createdVersion="5" refreshedVersion="8" minRefreshableVersion="3" recordCount="0" supportSubquery="1" supportAdvancedDrill="1" xr:uid="{346B41A5-B684-49DD-86DD-7781BB9748BF}">
  <cacheSource type="external" connectionId="3"/>
  <cacheFields count="4">
    <cacheField name="[Calendar 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0"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MISHRA" refreshedDate="46120.776503240741" createdVersion="5" refreshedVersion="8" minRefreshableVersion="3" recordCount="0" supportSubquery="1" supportAdvancedDrill="1" xr:uid="{29E78271-E0E5-42E9-91E1-A851E717CAB1}">
  <cacheSource type="external" connectionId="3"/>
  <cacheFields count="3">
    <cacheField name="[Calendar Table].[Date (Month)].[Date (Month)]" caption="Date (Month)" numFmtId="0" hierarchy="1" level="1">
      <sharedItems containsSemiMixedTypes="0" containsNonDate="0" containsString="0"/>
    </cacheField>
    <cacheField name="[Measures].[Count of Age Group]" caption="Count of Age Group" numFmtId="0" hierarchy="31" level="32767"/>
    <cacheField name="[Hospital Emergency Room Data].[Age Group].[Age Group]" caption="Age Group" numFmtId="0" hierarchy="16" level="1">
      <sharedItems count="8">
        <s v="0-09"/>
        <s v="10-19"/>
        <s v="20-29"/>
        <s v="30-39"/>
        <s v="40-49"/>
        <s v="50-59"/>
        <s v="60-69"/>
        <s v="70-79"/>
      </sharedItems>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0"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MISHRA" refreshedDate="46120.776504050926" createdVersion="5" refreshedVersion="8" minRefreshableVersion="3" recordCount="0" supportSubquery="1" supportAdvancedDrill="1" xr:uid="{85C6E38D-A493-4E7A-927D-B36390654984}">
  <cacheSource type="external" connectionId="3"/>
  <cacheFields count="3">
    <cacheField name="[Calendar 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0"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MISHRA" refreshedDate="46120.776504861111" createdVersion="5" refreshedVersion="8" minRefreshableVersion="3" recordCount="0" supportSubquery="1" supportAdvancedDrill="1" xr:uid="{7A370C0E-E6EF-416B-8666-BB1EAE645705}">
  <cacheSource type="external" connectionId="3"/>
  <cacheFields count="3">
    <cacheField name="[Calendar 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0"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MISHRA" refreshedDate="46120.776505555557" createdVersion="5" refreshedVersion="8" minRefreshableVersion="3" recordCount="0" supportSubquery="1" supportAdvancedDrill="1" xr:uid="{79B036FF-ED43-4D59-B12E-3ECC88CD26C1}">
  <cacheSource type="external" connectionId="3"/>
  <cacheFields count="3">
    <cacheField name="[Calendar 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0"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MISHRA" refreshedDate="46120.754246759258" createdVersion="3" refreshedVersion="8" minRefreshableVersion="3" recordCount="0" supportSubquery="1" supportAdvancedDrill="1" xr:uid="{DD8A7B39-66F3-470C-B610-1B22524B7240}">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903410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C1F1E5-E257-4112-8CB7-03D35C1AB124}" name="PivotTable7" cacheId="5" applyNumberFormats="0" applyBorderFormats="0" applyFontFormats="0" applyPatternFormats="0" applyAlignmentFormats="0" applyWidthHeightFormats="1" dataCaption="Values" tag="e966c0aa-192a-490b-b728-46834bfe9bfa" updatedVersion="8" minRefreshableVersion="3" subtotalHiddenItems="1" itemPrintTitles="1" createdVersion="5" indent="0" outline="1" outlineData="1" multipleFieldFilters="0" chartFormat="36">
  <location ref="M4:N36"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1"/>
  </dataFields>
  <formats count="1">
    <format dxfId="0">
      <pivotArea outline="0" collapsedLevelsAreSubtotals="1" fieldPosition="0"/>
    </format>
  </formats>
  <chartFormats count="2">
    <chartFormat chart="28"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070781-635E-47F3-83FC-4533A1E706E7}" name="PivotTable11" cacheId="9" applyNumberFormats="0" applyBorderFormats="0" applyFontFormats="0" applyPatternFormats="0" applyAlignmentFormats="0" applyWidthHeightFormats="1" dataCaption="Values" tag="691e9921-8ba3-49e1-8ad1-3e740657f3a2" updatedVersion="8" minRefreshableVersion="3" subtotalHiddenItems="1" itemPrintTitles="1" createdVersion="5" indent="0" outline="1" outlineData="1" multipleFieldFilters="0" chartFormat="31">
  <location ref="A72:B75"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1">
    <format dxfId="1">
      <pivotArea outline="0" collapsedLevelsAreSubtotals="1" fieldPosition="0"/>
    </format>
  </formats>
  <chartFormats count="3">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1" count="1" selected="0">
            <x v="0"/>
          </reference>
        </references>
      </pivotArea>
    </chartFormat>
    <chartFormat chart="2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 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C2EC48-92ED-490E-BD2B-17790B8E7B44}" name="PivotTable6" cacheId="4" applyNumberFormats="0" applyBorderFormats="0" applyFontFormats="0" applyPatternFormats="0" applyAlignmentFormats="0" applyWidthHeightFormats="1" dataCaption="Values" tag="a5a22625-8568-4efd-9073-6803312ead92" updatedVersion="8" minRefreshableVersion="3" subtotalHiddenItems="1" itemPrintTitles="1" createdVersion="5" indent="0" outline="1" outlineData="1" multipleFieldFilters="0" chartFormat="26">
  <location ref="H6:I38"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2">
      <pivotArea outline="0" collapsedLevelsAreSubtotals="1" fieldPosition="0"/>
    </format>
  </formats>
  <chartFormats count="2">
    <chartFormat chart="17"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58C763-CCA4-4960-84B8-CD2F9247AFAE}" name="PivotTable5" cacheId="0" applyNumberFormats="0" applyBorderFormats="0" applyFontFormats="0" applyPatternFormats="0" applyAlignmentFormats="0" applyWidthHeightFormats="1" dataCaption="Values" tag="a69571f6-e88a-42f3-a937-de087125f576" updatedVersion="8" minRefreshableVersion="3" subtotalHiddenItems="1" itemPrintTitles="1" createdVersion="5" indent="0" outline="1" outlineData="1" multipleFieldFilters="0" chartFormat="15">
  <location ref="C5:D37"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5" format="2"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26C1C3-1859-4279-9AEE-69C013E5523C}" name="PivotTable10" cacheId="8" applyNumberFormats="0" applyBorderFormats="0" applyFontFormats="0" applyPatternFormats="0" applyAlignmentFormats="0" applyWidthHeightFormats="1" dataCaption="Values" tag="f4705f7f-66df-4dc6-b0c4-b8d5496548f5" updatedVersion="8" minRefreshableVersion="3" subtotalHiddenItems="1" itemPrintTitles="1" createdVersion="5" indent="0" outline="1" outlineData="1" multipleFieldFilters="0" chartFormat="23">
  <location ref="A65:B68"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Patient Id" fld="1" subtotal="count" baseField="0" baseItem="0"/>
  </dataFields>
  <formats count="1">
    <format dxfId="3">
      <pivotArea outline="0" collapsedLevelsAreSubtotals="1" fieldPosition="0"/>
    </format>
  </format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2" count="1" selected="0">
            <x v="0"/>
          </reference>
        </references>
      </pivotArea>
    </chartFormat>
    <chartFormat chart="19"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 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835AE7-1EBF-4704-8CE1-D6C3615198EB}" name="PivotTable3" cacheId="2" applyNumberFormats="0" applyBorderFormats="0" applyFontFormats="0" applyPatternFormats="0" applyAlignmentFormats="0" applyWidthHeightFormats="1" dataCaption="Values" tag="ba894f38-f94b-412f-92ee-5783a661167c" updatedVersion="8" minRefreshableVersion="3" subtotalHiddenItems="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
      <pivotArea outline="0" collapsedLevelsAreSubtotals="1" fieldPosition="0"/>
    </format>
  </formats>
  <pivotHierarchies count="34">
    <pivotHierarchy dragToData="1"/>
    <pivotHierarchy multipleItemSelectionAllowed="1" dragToData="1">
      <members count="1" level="1">
        <member name="[Calendar 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EB6E47-3277-461C-A84C-1248143CB04B}" name="PivotTable9" cacheId="7" applyNumberFormats="0" applyBorderFormats="0" applyFontFormats="0" applyPatternFormats="0" applyAlignmentFormats="0" applyWidthHeightFormats="1" dataCaption="Values" tag="7221e45f-8bae-4ff2-8673-cf454183dd6d" updatedVersion="8" minRefreshableVersion="3" subtotalHiddenItems="1" itemPrintTitles="1" createdVersion="5" indent="0" outline="1" outlineData="1" multipleFieldFilters="0" chartFormat="21">
  <location ref="A51:B60"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Items count="1">
    <i/>
  </colItems>
  <dataFields count="1">
    <dataField name="Count of Age Group" fld="1" subtotal="count" baseField="0" baseItem="0" numFmtId="1"/>
  </dataFields>
  <formats count="1">
    <format dxfId="5">
      <pivotArea outline="0" collapsedLevelsAreSubtotals="1" fieldPosition="0"/>
    </format>
  </formats>
  <chartFormats count="1">
    <chartFormat chart="12"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FCCC34-3897-466D-9EEE-C810237357F2}" name="PivotTable1" cacheId="1" applyNumberFormats="0" applyBorderFormats="0" applyFontFormats="0" applyPatternFormats="0" applyAlignmentFormats="0" applyWidthHeightFormats="1" dataCaption="Values" tag="f20bbb96-cfaf-4a74-9ebf-0e9ca42fef05"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FADADA-352D-42C7-9F89-0AAA65FE5A96}" name="PivotTable8" cacheId="6" applyNumberFormats="0" applyBorderFormats="0" applyFontFormats="0" applyPatternFormats="0" applyAlignmentFormats="0" applyWidthHeightFormats="1" dataCaption="Values" tag="ed699447-475a-4646-bc98-534883aaae76" updatedVersion="8" minRefreshableVersion="3" subtotalHiddenItems="1" itemPrintTitles="1" createdVersion="5" indent="0" outline="1" outlineData="1" multipleFieldFilters="0" chartFormat="4">
  <location ref="A40:C43"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7">
      <pivotArea outline="0" collapsedLevelsAreSubtotals="1" fieldPosition="0"/>
    </format>
    <format dxfId="6">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 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D63D16-C9DD-4A06-8977-951EAED48388}" name="PivotTable4" cacheId="3" applyNumberFormats="0" applyBorderFormats="0" applyFontFormats="0" applyPatternFormats="0" applyAlignmentFormats="0" applyWidthHeightFormats="1" dataCaption="Values" tag="b010ab93-9ba3-4141-ad98-c595c870a01f" updatedVersion="8" minRefreshableVersion="3" subtotalHiddenItems="1" itemPrintTitles="1" createdVersion="5" indent="0" outline="1" outlineData="1" multipleFieldFilters="0">
  <location ref="A11:A12"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Average of Patient Satisfaction Score" fld="1" subtotal="average" baseField="0" baseItem="0"/>
  </dataFields>
  <formats count="1">
    <format dxfId="8">
      <pivotArea outline="0" collapsedLevelsAreSubtotals="1" fieldPosition="0"/>
    </format>
  </formats>
  <pivotHierarchies count="34">
    <pivotHierarchy dragToData="1"/>
    <pivotHierarchy multipleItemSelectionAllowed="1" dragToData="1">
      <members count="1" level="1">
        <member name="[Calendar 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0563EF-31A1-4813-90DF-4F8987412597}" name="PivotTable12" cacheId="10" applyNumberFormats="0" applyBorderFormats="0" applyFontFormats="0" applyPatternFormats="0" applyAlignmentFormats="0" applyWidthHeightFormats="1" dataCaption="Values" tag="dd346b0c-ff3d-4daf-8a09-60f1ad862a09" updatedVersion="8" minRefreshableVersion="3" subtotalHiddenItems="1" itemPrintTitles="1" createdVersion="5" indent="0" outline="1" outlineData="1" multipleFieldFilters="0" chartFormat="37">
  <location ref="D72:E81"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7"/>
    </i>
    <i>
      <x v="3"/>
    </i>
    <i>
      <x v="1"/>
    </i>
    <i>
      <x/>
    </i>
    <i>
      <x v="6"/>
    </i>
    <i>
      <x v="5"/>
    </i>
    <i>
      <x v="2"/>
    </i>
    <i>
      <x v="4"/>
    </i>
    <i t="grand">
      <x/>
    </i>
  </rowItems>
  <colItems count="1">
    <i/>
  </colItems>
  <dataFields count="1">
    <dataField name="Count of Department Referral" fld="2" subtotal="count" baseField="0" baseItem="0"/>
  </dataFields>
  <formats count="1">
    <format dxfId="9">
      <pivotArea outline="0" collapsedLevelsAreSubtotals="1" fieldPosition="0"/>
    </format>
  </formats>
  <chartFormats count="1">
    <chartFormat chart="3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6F22EFF-3FD7-4C8B-94F5-74B32DF0D147}" sourceName="[Calendar Table].[Date (Month)]">
  <pivotTables>
    <pivotTable tabId="1" name="PivotTable5"/>
    <pivotTable tabId="1" name="PivotTable1"/>
    <pivotTable tabId="1" name="PivotTable3"/>
    <pivotTable tabId="1" name="PivotTable4"/>
    <pivotTable tabId="1" name="PivotTable6"/>
    <pivotTable tabId="1" name="PivotTable7"/>
    <pivotTable tabId="1" name="PivotTable8"/>
    <pivotTable tabId="1" name="PivotTable9"/>
    <pivotTable tabId="1" name="PivotTable10"/>
    <pivotTable tabId="1" name="PivotTable11"/>
    <pivotTable tabId="1" name="PivotTable12"/>
  </pivotTables>
  <data>
    <olap pivotCacheId="890341045">
      <levels count="2">
        <level uniqueName="[Calendar Table].[Date (Month)].[(All)]" sourceCaption="(All)" count="0"/>
        <level uniqueName="[Calendar Table].[Date (Month)].[Date (Month)]" sourceCaption="Date (Month)" count="12">
          <ranges>
            <range startItem="0">
              <i n="[Calendar Table].[Date (Month)].&amp;[Jan]" c="Jan"/>
              <i n="[Calendar Table].[Date (Month)].&amp;[Feb]" c="Feb"/>
              <i n="[Calendar Table].[Date (Month)].&amp;[Mar]" c="Mar"/>
              <i n="[Calendar Table].[Date (Month)].&amp;[Apr]" c="Apr"/>
              <i n="[Calendar Table].[Date (Month)].&amp;[May]" c="May"/>
              <i n="[Calendar Table].[Date (Month)].&amp;[Jun]" c="Jun"/>
              <i n="[Calendar Table].[Date (Month)].&amp;[Jul]" c="Jul"/>
              <i n="[Calendar Table].[Date (Month)].&amp;[Aug]" c="Aug"/>
              <i n="[Calendar Table].[Date (Month)].&amp;[Sep]" c="Sep"/>
              <i n="[Calendar Table].[Date (Month)].&amp;[Oct]" c="Oct"/>
              <i n="[Calendar Table].[Date (Month)].&amp;[Nov]" c="Nov"/>
              <i n="[Calendar Table].[Date (Month)].&amp;[Dec]" c="Dec"/>
            </range>
          </ranges>
        </level>
      </levels>
      <selections count="1">
        <selection n="[Calendar 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6831D03-046E-4994-9C22-8EEE7C2F8177}" sourceName="[Calendar Table].[Date (Year)]">
  <pivotTables>
    <pivotTable tabId="1" name="PivotTable1"/>
  </pivotTables>
  <data>
    <olap pivotCacheId="890341045">
      <levels count="2">
        <level uniqueName="[Calendar Table].[Date (Year)].[(All)]" sourceCaption="(All)" count="0"/>
        <level uniqueName="[Calendar Table].[Date (Year)].[Date (Year)]" sourceCaption="Date (Year)" count="2">
          <ranges>
            <range startItem="0">
              <i n="[Calendar Table].[Date (Year)].&amp;[2023]" c="2023"/>
              <i n="[Calendar Table].[Date (Year)].&amp;[2024]" c="2024"/>
            </range>
          </ranges>
        </level>
      </levels>
      <selections count="1">
        <selection n="[Calendar 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87C6B729-0E32-4291-8134-FD1615F5E633}" cache="Slicer_Date__Month" caption="Date (Month)" showCaption="0" level="1" style="MYSTYLE" rowHeight="144000"/>
  <slicer name="Date (Month) 2" xr10:uid="{63646FD4-9110-4F76-8606-7F942F7384B9}" cache="Slicer_Date__Month" caption="Date (Month)" showCaption="0" level="1" style="MYSTYLE" rowHeight="144000"/>
  <slicer name="Date (Year)" xr10:uid="{4D400961-0A58-4C3D-8934-AB8EC62D4160}" cache="Slicer_Date__Year" caption="Date (Year)" columnCount="2" showCaption="0" level="1" style="MYSTYLE"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1E871-2CDA-4343-B1F3-43E6ACB4D98C}">
  <dimension ref="A3:N81"/>
  <sheetViews>
    <sheetView zoomScale="140" zoomScaleNormal="140" workbookViewId="0">
      <selection activeCell="A12" sqref="A12"/>
    </sheetView>
  </sheetViews>
  <sheetFormatPr defaultRowHeight="14.4" x14ac:dyDescent="0.3"/>
  <cols>
    <col min="1" max="1" width="25.6640625" customWidth="1"/>
    <col min="2" max="2" width="15.109375" customWidth="1"/>
    <col min="3" max="3" width="17.33203125" customWidth="1"/>
    <col min="4" max="4" width="30.33203125" customWidth="1"/>
    <col min="5" max="5" width="26.77734375" bestFit="1" customWidth="1"/>
    <col min="6" max="6" width="8.88671875" customWidth="1"/>
    <col min="8" max="8" width="13" customWidth="1"/>
    <col min="9" max="9" width="32.6640625" customWidth="1"/>
    <col min="13" max="13" width="16.6640625" customWidth="1"/>
    <col min="14" max="14" width="32.6640625" customWidth="1"/>
  </cols>
  <sheetData>
    <row r="3" spans="1:14" x14ac:dyDescent="0.3">
      <c r="A3" t="s">
        <v>2</v>
      </c>
      <c r="M3" t="s">
        <v>40</v>
      </c>
    </row>
    <row r="4" spans="1:14" x14ac:dyDescent="0.3">
      <c r="A4" t="s">
        <v>1</v>
      </c>
      <c r="C4" t="s">
        <v>38</v>
      </c>
      <c r="M4" s="1" t="s">
        <v>5</v>
      </c>
      <c r="N4" t="s">
        <v>4</v>
      </c>
    </row>
    <row r="5" spans="1:14" x14ac:dyDescent="0.3">
      <c r="A5">
        <v>464</v>
      </c>
      <c r="C5" s="1" t="s">
        <v>5</v>
      </c>
      <c r="D5" t="s">
        <v>1</v>
      </c>
      <c r="H5" t="s">
        <v>39</v>
      </c>
      <c r="M5" s="4" t="s">
        <v>7</v>
      </c>
      <c r="N5" s="2">
        <v>3.7</v>
      </c>
    </row>
    <row r="6" spans="1:14" x14ac:dyDescent="0.3">
      <c r="C6" s="4" t="s">
        <v>7</v>
      </c>
      <c r="D6">
        <v>32</v>
      </c>
      <c r="H6" s="1" t="s">
        <v>5</v>
      </c>
      <c r="I6" t="s">
        <v>3</v>
      </c>
      <c r="M6" s="4" t="s">
        <v>8</v>
      </c>
      <c r="N6" s="2">
        <v>5.8</v>
      </c>
    </row>
    <row r="7" spans="1:14" x14ac:dyDescent="0.3">
      <c r="C7" s="4" t="s">
        <v>8</v>
      </c>
      <c r="D7">
        <v>28</v>
      </c>
      <c r="H7" s="4" t="s">
        <v>7</v>
      </c>
      <c r="I7" s="2">
        <v>37.53125</v>
      </c>
      <c r="M7" s="4" t="s">
        <v>9</v>
      </c>
      <c r="N7" s="2">
        <v>4</v>
      </c>
    </row>
    <row r="8" spans="1:14" x14ac:dyDescent="0.3">
      <c r="A8" t="s">
        <v>3</v>
      </c>
      <c r="C8" s="4" t="s">
        <v>9</v>
      </c>
      <c r="D8">
        <v>28</v>
      </c>
      <c r="H8" s="4" t="s">
        <v>8</v>
      </c>
      <c r="I8" s="2">
        <v>31.357142857142858</v>
      </c>
      <c r="M8" s="4" t="s">
        <v>10</v>
      </c>
      <c r="N8" s="2">
        <v>2</v>
      </c>
    </row>
    <row r="9" spans="1:14" x14ac:dyDescent="0.3">
      <c r="A9" s="2">
        <v>34.965336134453779</v>
      </c>
      <c r="C9" s="4" t="s">
        <v>10</v>
      </c>
      <c r="D9">
        <v>25</v>
      </c>
      <c r="H9" s="4" t="s">
        <v>9</v>
      </c>
      <c r="I9" s="2">
        <v>35.285714285714285</v>
      </c>
      <c r="M9" s="4" t="s">
        <v>11</v>
      </c>
      <c r="N9" s="2">
        <v>6</v>
      </c>
    </row>
    <row r="10" spans="1:14" x14ac:dyDescent="0.3">
      <c r="C10" s="4" t="s">
        <v>11</v>
      </c>
      <c r="D10">
        <v>23</v>
      </c>
      <c r="H10" s="4" t="s">
        <v>10</v>
      </c>
      <c r="I10" s="2">
        <v>34</v>
      </c>
      <c r="M10" s="4" t="s">
        <v>12</v>
      </c>
      <c r="N10" s="2">
        <v>5</v>
      </c>
    </row>
    <row r="11" spans="1:14" x14ac:dyDescent="0.3">
      <c r="A11" t="s">
        <v>4</v>
      </c>
      <c r="C11" s="4" t="s">
        <v>12</v>
      </c>
      <c r="D11">
        <v>22</v>
      </c>
      <c r="H11" s="4" t="s">
        <v>11</v>
      </c>
      <c r="I11" s="2">
        <v>28.391304347826086</v>
      </c>
      <c r="M11" s="4" t="s">
        <v>13</v>
      </c>
      <c r="N11" s="2">
        <v>5.1111111111111107</v>
      </c>
    </row>
    <row r="12" spans="1:14" x14ac:dyDescent="0.3">
      <c r="A12" s="2">
        <v>4.8773946360153255</v>
      </c>
      <c r="C12" s="4" t="s">
        <v>13</v>
      </c>
      <c r="D12">
        <v>33</v>
      </c>
      <c r="H12" s="4" t="s">
        <v>12</v>
      </c>
      <c r="I12" s="2">
        <v>36.545454545454547</v>
      </c>
      <c r="M12" s="4" t="s">
        <v>14</v>
      </c>
      <c r="N12" s="2">
        <v>3.8571428571428572</v>
      </c>
    </row>
    <row r="13" spans="1:14" x14ac:dyDescent="0.3">
      <c r="C13" s="4" t="s">
        <v>14</v>
      </c>
      <c r="D13">
        <v>31</v>
      </c>
      <c r="H13" s="4" t="s">
        <v>13</v>
      </c>
      <c r="I13" s="2">
        <v>33.939393939393938</v>
      </c>
      <c r="M13" s="4" t="s">
        <v>15</v>
      </c>
      <c r="N13" s="2">
        <v>6.5714285714285712</v>
      </c>
    </row>
    <row r="14" spans="1:14" x14ac:dyDescent="0.3">
      <c r="C14" s="4" t="s">
        <v>15</v>
      </c>
      <c r="D14">
        <v>35</v>
      </c>
      <c r="H14" s="4" t="s">
        <v>14</v>
      </c>
      <c r="I14" s="2">
        <v>38.516129032258064</v>
      </c>
      <c r="M14" s="4" t="s">
        <v>16</v>
      </c>
      <c r="N14" s="2">
        <v>5.2857142857142856</v>
      </c>
    </row>
    <row r="15" spans="1:14" x14ac:dyDescent="0.3">
      <c r="C15" s="4" t="s">
        <v>16</v>
      </c>
      <c r="D15">
        <v>30</v>
      </c>
      <c r="H15" s="4" t="s">
        <v>15</v>
      </c>
      <c r="I15" s="2">
        <v>34.74285714285714</v>
      </c>
      <c r="M15" s="4" t="s">
        <v>17</v>
      </c>
      <c r="N15" s="2">
        <v>5.5</v>
      </c>
    </row>
    <row r="16" spans="1:14" x14ac:dyDescent="0.3">
      <c r="C16" s="4" t="s">
        <v>17</v>
      </c>
      <c r="D16">
        <v>32</v>
      </c>
      <c r="H16" s="4" t="s">
        <v>16</v>
      </c>
      <c r="I16" s="2">
        <v>34.5</v>
      </c>
      <c r="M16" s="4" t="s">
        <v>18</v>
      </c>
      <c r="N16" s="2">
        <v>4.8181818181818183</v>
      </c>
    </row>
    <row r="17" spans="3:14" x14ac:dyDescent="0.3">
      <c r="C17" s="4" t="s">
        <v>18</v>
      </c>
      <c r="D17">
        <v>39</v>
      </c>
      <c r="H17" s="4" t="s">
        <v>17</v>
      </c>
      <c r="I17" s="2">
        <v>31.65625</v>
      </c>
      <c r="M17" s="4" t="s">
        <v>19</v>
      </c>
      <c r="N17" s="2">
        <v>5</v>
      </c>
    </row>
    <row r="18" spans="3:14" x14ac:dyDescent="0.3">
      <c r="C18" s="4" t="s">
        <v>19</v>
      </c>
      <c r="D18">
        <v>39</v>
      </c>
      <c r="H18" s="4" t="s">
        <v>18</v>
      </c>
      <c r="I18" s="2">
        <v>37.384615384615387</v>
      </c>
      <c r="M18" s="4" t="s">
        <v>20</v>
      </c>
      <c r="N18" s="2">
        <v>3.2222222222222223</v>
      </c>
    </row>
    <row r="19" spans="3:14" x14ac:dyDescent="0.3">
      <c r="C19" s="4" t="s">
        <v>20</v>
      </c>
      <c r="D19">
        <v>30</v>
      </c>
      <c r="H19" s="4" t="s">
        <v>19</v>
      </c>
      <c r="I19" s="2">
        <v>36.205128205128204</v>
      </c>
      <c r="M19" s="4" t="s">
        <v>21</v>
      </c>
      <c r="N19" s="2">
        <v>6.333333333333333</v>
      </c>
    </row>
    <row r="20" spans="3:14" x14ac:dyDescent="0.3">
      <c r="C20" s="4" t="s">
        <v>21</v>
      </c>
      <c r="D20">
        <v>29</v>
      </c>
      <c r="H20" s="4" t="s">
        <v>20</v>
      </c>
      <c r="I20" s="2">
        <v>35.6</v>
      </c>
      <c r="M20" s="4" t="s">
        <v>22</v>
      </c>
      <c r="N20" s="2">
        <v>3.8</v>
      </c>
    </row>
    <row r="21" spans="3:14" x14ac:dyDescent="0.3">
      <c r="C21" s="4" t="s">
        <v>22</v>
      </c>
      <c r="D21">
        <v>34</v>
      </c>
      <c r="H21" s="4" t="s">
        <v>21</v>
      </c>
      <c r="I21" s="2">
        <v>31.068965517241381</v>
      </c>
      <c r="M21" s="4" t="s">
        <v>23</v>
      </c>
      <c r="N21" s="2">
        <v>3.1111111111111112</v>
      </c>
    </row>
    <row r="22" spans="3:14" x14ac:dyDescent="0.3">
      <c r="C22" s="4" t="s">
        <v>23</v>
      </c>
      <c r="D22">
        <v>30</v>
      </c>
      <c r="H22" s="4" t="s">
        <v>22</v>
      </c>
      <c r="I22" s="2">
        <v>33</v>
      </c>
      <c r="M22" s="4" t="s">
        <v>24</v>
      </c>
      <c r="N22" s="2">
        <v>2.8333333333333335</v>
      </c>
    </row>
    <row r="23" spans="3:14" x14ac:dyDescent="0.3">
      <c r="C23" s="4" t="s">
        <v>24</v>
      </c>
      <c r="D23">
        <v>28</v>
      </c>
      <c r="H23" s="4" t="s">
        <v>23</v>
      </c>
      <c r="I23" s="2">
        <v>36.233333333333334</v>
      </c>
      <c r="M23" s="4" t="s">
        <v>25</v>
      </c>
      <c r="N23" s="2">
        <v>6.625</v>
      </c>
    </row>
    <row r="24" spans="3:14" x14ac:dyDescent="0.3">
      <c r="C24" s="4" t="s">
        <v>25</v>
      </c>
      <c r="D24">
        <v>33</v>
      </c>
      <c r="H24" s="4" t="s">
        <v>24</v>
      </c>
      <c r="I24" s="2">
        <v>37.142857142857146</v>
      </c>
      <c r="M24" s="4" t="s">
        <v>26</v>
      </c>
      <c r="N24" s="2">
        <v>3.5</v>
      </c>
    </row>
    <row r="25" spans="3:14" x14ac:dyDescent="0.3">
      <c r="C25" s="4" t="s">
        <v>26</v>
      </c>
      <c r="D25">
        <v>30</v>
      </c>
      <c r="H25" s="4" t="s">
        <v>25</v>
      </c>
      <c r="I25" s="2">
        <v>34.666666666666664</v>
      </c>
      <c r="M25" s="4" t="s">
        <v>27</v>
      </c>
      <c r="N25" s="2">
        <v>5.166666666666667</v>
      </c>
    </row>
    <row r="26" spans="3:14" x14ac:dyDescent="0.3">
      <c r="C26" s="4" t="s">
        <v>27</v>
      </c>
      <c r="D26">
        <v>31</v>
      </c>
      <c r="H26" s="4" t="s">
        <v>26</v>
      </c>
      <c r="I26" s="2">
        <v>36.033333333333331</v>
      </c>
      <c r="M26" s="4" t="s">
        <v>28</v>
      </c>
      <c r="N26" s="2">
        <v>5.333333333333333</v>
      </c>
    </row>
    <row r="27" spans="3:14" x14ac:dyDescent="0.3">
      <c r="C27" s="4" t="s">
        <v>28</v>
      </c>
      <c r="D27">
        <v>27</v>
      </c>
      <c r="H27" s="4" t="s">
        <v>27</v>
      </c>
      <c r="I27" s="2">
        <v>33.838709677419352</v>
      </c>
      <c r="M27" s="4" t="s">
        <v>29</v>
      </c>
      <c r="N27" s="2">
        <v>4.875</v>
      </c>
    </row>
    <row r="28" spans="3:14" x14ac:dyDescent="0.3">
      <c r="C28" s="4" t="s">
        <v>29</v>
      </c>
      <c r="D28">
        <v>32</v>
      </c>
      <c r="H28" s="4" t="s">
        <v>28</v>
      </c>
      <c r="I28" s="2">
        <v>34.592592592592595</v>
      </c>
      <c r="M28" s="4" t="s">
        <v>30</v>
      </c>
      <c r="N28" s="2">
        <v>4.5</v>
      </c>
    </row>
    <row r="29" spans="3:14" x14ac:dyDescent="0.3">
      <c r="C29" s="4" t="s">
        <v>30</v>
      </c>
      <c r="D29">
        <v>29</v>
      </c>
      <c r="H29" s="4" t="s">
        <v>29</v>
      </c>
      <c r="I29" s="2">
        <v>34.4375</v>
      </c>
      <c r="M29" s="4" t="s">
        <v>31</v>
      </c>
      <c r="N29" s="2">
        <v>4.625</v>
      </c>
    </row>
    <row r="30" spans="3:14" x14ac:dyDescent="0.3">
      <c r="C30" s="4" t="s">
        <v>31</v>
      </c>
      <c r="D30">
        <v>29</v>
      </c>
      <c r="H30" s="4" t="s">
        <v>30</v>
      </c>
      <c r="I30" s="2">
        <v>36.172413793103445</v>
      </c>
      <c r="M30" s="4" t="s">
        <v>32</v>
      </c>
      <c r="N30" s="2">
        <v>5</v>
      </c>
    </row>
    <row r="31" spans="3:14" x14ac:dyDescent="0.3">
      <c r="C31" s="4" t="s">
        <v>32</v>
      </c>
      <c r="D31">
        <v>29</v>
      </c>
      <c r="H31" s="4" t="s">
        <v>31</v>
      </c>
      <c r="I31" s="2">
        <v>34.758620689655174</v>
      </c>
      <c r="M31" s="4" t="s">
        <v>33</v>
      </c>
      <c r="N31" s="2">
        <v>6.8181818181818183</v>
      </c>
    </row>
    <row r="32" spans="3:14" x14ac:dyDescent="0.3">
      <c r="C32" s="4" t="s">
        <v>33</v>
      </c>
      <c r="D32">
        <v>30</v>
      </c>
      <c r="H32" s="4" t="s">
        <v>32</v>
      </c>
      <c r="I32" s="2">
        <v>37.241379310344826</v>
      </c>
      <c r="M32" s="4" t="s">
        <v>34</v>
      </c>
      <c r="N32" s="2">
        <v>6.375</v>
      </c>
    </row>
    <row r="33" spans="1:14" x14ac:dyDescent="0.3">
      <c r="C33" s="4" t="s">
        <v>34</v>
      </c>
      <c r="D33">
        <v>32</v>
      </c>
      <c r="H33" s="4" t="s">
        <v>33</v>
      </c>
      <c r="I33" s="2">
        <v>33.9</v>
      </c>
      <c r="M33" s="4" t="s">
        <v>35</v>
      </c>
      <c r="N33" s="2">
        <v>4.615384615384615</v>
      </c>
    </row>
    <row r="34" spans="1:14" x14ac:dyDescent="0.3">
      <c r="C34" s="4" t="s">
        <v>35</v>
      </c>
      <c r="D34">
        <v>39</v>
      </c>
      <c r="H34" s="4" t="s">
        <v>34</v>
      </c>
      <c r="I34" s="2">
        <v>35.4375</v>
      </c>
      <c r="M34" s="4" t="s">
        <v>36</v>
      </c>
      <c r="N34" s="2">
        <v>5.5454545454545459</v>
      </c>
    </row>
    <row r="35" spans="1:14" x14ac:dyDescent="0.3">
      <c r="C35" s="4" t="s">
        <v>36</v>
      </c>
      <c r="D35">
        <v>32</v>
      </c>
      <c r="H35" s="4" t="s">
        <v>35</v>
      </c>
      <c r="I35" s="2">
        <v>36.820512820512818</v>
      </c>
      <c r="M35" s="4" t="s">
        <v>37</v>
      </c>
      <c r="N35" s="2">
        <v>6.9090909090909092</v>
      </c>
    </row>
    <row r="36" spans="1:14" x14ac:dyDescent="0.3">
      <c r="C36" s="4" t="s">
        <v>37</v>
      </c>
      <c r="D36">
        <v>31</v>
      </c>
      <c r="H36" s="4" t="s">
        <v>36</v>
      </c>
      <c r="I36" s="2">
        <v>31.3125</v>
      </c>
      <c r="M36" s="4" t="s">
        <v>6</v>
      </c>
      <c r="N36" s="2">
        <v>4.8773946360153255</v>
      </c>
    </row>
    <row r="37" spans="1:14" x14ac:dyDescent="0.3">
      <c r="C37" s="4" t="s">
        <v>6</v>
      </c>
      <c r="D37">
        <v>952</v>
      </c>
      <c r="H37" s="4" t="s">
        <v>37</v>
      </c>
      <c r="I37" s="2">
        <v>39.064516129032256</v>
      </c>
    </row>
    <row r="38" spans="1:14" x14ac:dyDescent="0.3">
      <c r="H38" s="4" t="s">
        <v>6</v>
      </c>
      <c r="I38" s="2">
        <v>34.965336134453779</v>
      </c>
    </row>
    <row r="40" spans="1:14" x14ac:dyDescent="0.3">
      <c r="A40" s="1" t="s">
        <v>5</v>
      </c>
      <c r="B40" t="s">
        <v>41</v>
      </c>
      <c r="C40" t="s">
        <v>44</v>
      </c>
    </row>
    <row r="41" spans="1:14" x14ac:dyDescent="0.3">
      <c r="A41" s="4" t="s">
        <v>42</v>
      </c>
      <c r="B41" s="2">
        <v>502</v>
      </c>
      <c r="C41" s="7">
        <v>0.52731092436974791</v>
      </c>
    </row>
    <row r="42" spans="1:14" x14ac:dyDescent="0.3">
      <c r="A42" s="4" t="s">
        <v>43</v>
      </c>
      <c r="B42" s="2">
        <v>450</v>
      </c>
      <c r="C42" s="7">
        <v>0.47268907563025209</v>
      </c>
    </row>
    <row r="43" spans="1:14" x14ac:dyDescent="0.3">
      <c r="A43" s="4" t="s">
        <v>6</v>
      </c>
      <c r="B43" s="2">
        <v>952</v>
      </c>
      <c r="C43" s="7">
        <v>1</v>
      </c>
    </row>
    <row r="45" spans="1:14" ht="9.6" customHeight="1" x14ac:dyDescent="0.3">
      <c r="A45" s="15" t="s">
        <v>45</v>
      </c>
      <c r="B45" s="15" t="s">
        <v>2</v>
      </c>
      <c r="C45" s="16" t="s">
        <v>46</v>
      </c>
      <c r="D45" s="17"/>
    </row>
    <row r="46" spans="1:14" ht="10.199999999999999" customHeight="1" x14ac:dyDescent="0.3">
      <c r="A46" s="9" t="str">
        <f>A41</f>
        <v>Admitted</v>
      </c>
      <c r="B46" s="10">
        <f>B41</f>
        <v>502</v>
      </c>
      <c r="C46" s="11">
        <f>C41</f>
        <v>0.52731092436974791</v>
      </c>
      <c r="D46" s="8"/>
    </row>
    <row r="47" spans="1:14" ht="12" customHeight="1" x14ac:dyDescent="0.3">
      <c r="A47" s="12" t="str">
        <f>A42</f>
        <v>Not Admitted</v>
      </c>
      <c r="B47" s="13">
        <f t="shared" ref="B47:C47" si="0">B42</f>
        <v>450</v>
      </c>
      <c r="C47" s="11">
        <f t="shared" si="0"/>
        <v>0.47268907563025209</v>
      </c>
      <c r="D47" s="8"/>
    </row>
    <row r="50" spans="1:2" x14ac:dyDescent="0.3">
      <c r="A50" t="s">
        <v>56</v>
      </c>
    </row>
    <row r="51" spans="1:2" x14ac:dyDescent="0.3">
      <c r="A51" s="1" t="s">
        <v>5</v>
      </c>
      <c r="B51" t="s">
        <v>47</v>
      </c>
    </row>
    <row r="52" spans="1:2" x14ac:dyDescent="0.3">
      <c r="A52" s="4" t="s">
        <v>48</v>
      </c>
      <c r="B52" s="14">
        <v>123</v>
      </c>
    </row>
    <row r="53" spans="1:2" x14ac:dyDescent="0.3">
      <c r="A53" s="4" t="s">
        <v>49</v>
      </c>
      <c r="B53" s="14">
        <v>126</v>
      </c>
    </row>
    <row r="54" spans="1:2" x14ac:dyDescent="0.3">
      <c r="A54" s="4" t="s">
        <v>50</v>
      </c>
      <c r="B54" s="14">
        <v>120</v>
      </c>
    </row>
    <row r="55" spans="1:2" x14ac:dyDescent="0.3">
      <c r="A55" s="4" t="s">
        <v>51</v>
      </c>
      <c r="B55" s="14">
        <v>103</v>
      </c>
    </row>
    <row r="56" spans="1:2" x14ac:dyDescent="0.3">
      <c r="A56" s="4" t="s">
        <v>52</v>
      </c>
      <c r="B56" s="14">
        <v>135</v>
      </c>
    </row>
    <row r="57" spans="1:2" x14ac:dyDescent="0.3">
      <c r="A57" s="4" t="s">
        <v>53</v>
      </c>
      <c r="B57" s="14">
        <v>134</v>
      </c>
    </row>
    <row r="58" spans="1:2" x14ac:dyDescent="0.3">
      <c r="A58" s="4" t="s">
        <v>54</v>
      </c>
      <c r="B58" s="14">
        <v>96</v>
      </c>
    </row>
    <row r="59" spans="1:2" x14ac:dyDescent="0.3">
      <c r="A59" s="4" t="s">
        <v>55</v>
      </c>
      <c r="B59" s="14">
        <v>115</v>
      </c>
    </row>
    <row r="60" spans="1:2" x14ac:dyDescent="0.3">
      <c r="A60" s="4" t="s">
        <v>6</v>
      </c>
      <c r="B60" s="14">
        <v>952</v>
      </c>
    </row>
    <row r="64" spans="1:2" x14ac:dyDescent="0.3">
      <c r="A64" t="s">
        <v>59</v>
      </c>
    </row>
    <row r="65" spans="1:5" x14ac:dyDescent="0.3">
      <c r="A65" s="1" t="s">
        <v>5</v>
      </c>
      <c r="B65" t="s">
        <v>0</v>
      </c>
    </row>
    <row r="66" spans="1:5" x14ac:dyDescent="0.3">
      <c r="A66" s="4" t="s">
        <v>57</v>
      </c>
      <c r="B66" s="14">
        <v>555</v>
      </c>
    </row>
    <row r="67" spans="1:5" x14ac:dyDescent="0.3">
      <c r="A67" s="4" t="s">
        <v>58</v>
      </c>
      <c r="B67" s="14">
        <v>397</v>
      </c>
    </row>
    <row r="68" spans="1:5" x14ac:dyDescent="0.3">
      <c r="A68" s="4" t="s">
        <v>6</v>
      </c>
      <c r="B68" s="14">
        <v>952</v>
      </c>
    </row>
    <row r="71" spans="1:5" x14ac:dyDescent="0.3">
      <c r="A71" s="4" t="s">
        <v>63</v>
      </c>
    </row>
    <row r="72" spans="1:5" x14ac:dyDescent="0.3">
      <c r="A72" s="1" t="s">
        <v>5</v>
      </c>
      <c r="B72" t="s">
        <v>62</v>
      </c>
      <c r="D72" s="1" t="s">
        <v>5</v>
      </c>
      <c r="E72" t="s">
        <v>72</v>
      </c>
    </row>
    <row r="73" spans="1:5" x14ac:dyDescent="0.3">
      <c r="A73" s="4" t="s">
        <v>60</v>
      </c>
      <c r="B73" s="14">
        <v>460</v>
      </c>
      <c r="D73" s="4" t="s">
        <v>71</v>
      </c>
      <c r="E73" s="14">
        <v>7</v>
      </c>
    </row>
    <row r="74" spans="1:5" x14ac:dyDescent="0.3">
      <c r="A74" s="4" t="s">
        <v>61</v>
      </c>
      <c r="B74" s="14">
        <v>492</v>
      </c>
      <c r="D74" s="4" t="s">
        <v>67</v>
      </c>
      <c r="E74" s="14">
        <v>16</v>
      </c>
    </row>
    <row r="75" spans="1:5" x14ac:dyDescent="0.3">
      <c r="A75" s="4" t="s">
        <v>6</v>
      </c>
      <c r="B75" s="14">
        <v>952</v>
      </c>
      <c r="D75" s="4" t="s">
        <v>65</v>
      </c>
      <c r="E75" s="14">
        <v>19</v>
      </c>
    </row>
    <row r="76" spans="1:5" x14ac:dyDescent="0.3">
      <c r="D76" s="4" t="s">
        <v>64</v>
      </c>
      <c r="E76" s="14">
        <v>23</v>
      </c>
    </row>
    <row r="77" spans="1:5" x14ac:dyDescent="0.3">
      <c r="D77" s="4" t="s">
        <v>70</v>
      </c>
      <c r="E77" s="14">
        <v>23</v>
      </c>
    </row>
    <row r="78" spans="1:5" x14ac:dyDescent="0.3">
      <c r="D78" s="4" t="s">
        <v>69</v>
      </c>
      <c r="E78" s="14">
        <v>114</v>
      </c>
    </row>
    <row r="79" spans="1:5" x14ac:dyDescent="0.3">
      <c r="D79" s="4" t="s">
        <v>66</v>
      </c>
      <c r="E79" s="14">
        <v>180</v>
      </c>
    </row>
    <row r="80" spans="1:5" x14ac:dyDescent="0.3">
      <c r="D80" s="4" t="s">
        <v>68</v>
      </c>
      <c r="E80" s="14">
        <v>570</v>
      </c>
    </row>
    <row r="81" spans="4:5" x14ac:dyDescent="0.3">
      <c r="D81" s="4" t="s">
        <v>6</v>
      </c>
      <c r="E81" s="14">
        <v>952</v>
      </c>
    </row>
  </sheetData>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FFFBC-CCAD-4334-8E19-7E9928DDD0C5}">
  <dimension ref="A1:N16"/>
  <sheetViews>
    <sheetView zoomScale="165" zoomScaleNormal="165" workbookViewId="0"/>
  </sheetViews>
  <sheetFormatPr defaultRowHeight="14.4" x14ac:dyDescent="0.3"/>
  <sheetData>
    <row r="1" spans="1:14" x14ac:dyDescent="0.3">
      <c r="A1" s="3"/>
      <c r="B1" s="3"/>
      <c r="C1" s="3"/>
      <c r="D1" s="3"/>
      <c r="E1" s="3"/>
      <c r="F1" s="3"/>
      <c r="G1" s="3"/>
      <c r="H1" s="3"/>
      <c r="I1" s="3"/>
      <c r="J1" s="3"/>
      <c r="K1" s="3"/>
      <c r="L1" s="3"/>
      <c r="M1" s="3"/>
      <c r="N1" s="3"/>
    </row>
    <row r="2" spans="1:14" x14ac:dyDescent="0.3">
      <c r="A2" s="3"/>
      <c r="B2" s="3"/>
      <c r="C2" s="3"/>
      <c r="D2" s="3"/>
      <c r="E2" s="3"/>
      <c r="F2" s="3"/>
      <c r="G2" s="3"/>
      <c r="H2" s="3"/>
      <c r="I2" s="3"/>
      <c r="J2" s="3"/>
      <c r="K2" s="3"/>
      <c r="L2" s="3"/>
      <c r="M2" s="3"/>
      <c r="N2" s="3"/>
    </row>
    <row r="3" spans="1:14" x14ac:dyDescent="0.3">
      <c r="A3" s="3"/>
      <c r="B3" s="3"/>
      <c r="C3" s="3"/>
      <c r="D3" s="3"/>
      <c r="E3" s="3"/>
      <c r="F3" s="3"/>
      <c r="G3" s="3"/>
      <c r="H3" s="3"/>
      <c r="I3" s="3"/>
      <c r="J3" s="3"/>
      <c r="K3" s="3"/>
      <c r="L3" s="3"/>
      <c r="M3" s="3"/>
      <c r="N3" s="3"/>
    </row>
    <row r="4" spans="1:14" x14ac:dyDescent="0.3">
      <c r="A4" s="3"/>
      <c r="B4" s="3"/>
      <c r="C4" s="3"/>
      <c r="D4" s="3"/>
      <c r="E4" s="3"/>
      <c r="F4" s="3"/>
      <c r="G4" s="3"/>
      <c r="H4" s="3"/>
      <c r="I4" s="3"/>
      <c r="J4" s="3"/>
      <c r="K4" s="3"/>
      <c r="L4" s="3"/>
      <c r="M4" s="3"/>
      <c r="N4" s="3"/>
    </row>
    <row r="5" spans="1:14" x14ac:dyDescent="0.3">
      <c r="A5" s="3"/>
      <c r="B5" s="3"/>
      <c r="C5" s="3"/>
      <c r="D5" s="3"/>
      <c r="E5" s="3"/>
      <c r="F5" s="3"/>
      <c r="G5" s="3"/>
      <c r="H5" s="3"/>
      <c r="I5" s="3"/>
      <c r="J5" s="3"/>
      <c r="K5" s="3"/>
      <c r="L5" s="3"/>
      <c r="M5" s="3"/>
      <c r="N5" s="3"/>
    </row>
    <row r="6" spans="1:14" x14ac:dyDescent="0.3">
      <c r="A6" s="3"/>
      <c r="B6" s="3"/>
      <c r="C6" s="3"/>
      <c r="D6" s="3"/>
      <c r="E6" s="3"/>
      <c r="F6" s="3"/>
      <c r="G6" s="3"/>
      <c r="H6" s="3"/>
      <c r="I6" s="3"/>
      <c r="J6" s="3"/>
      <c r="K6" s="3"/>
      <c r="L6" s="3"/>
      <c r="M6" s="3"/>
      <c r="N6" s="3"/>
    </row>
    <row r="7" spans="1:14" x14ac:dyDescent="0.3">
      <c r="A7" s="3"/>
      <c r="B7" s="3"/>
      <c r="C7" s="3"/>
      <c r="D7" s="3"/>
      <c r="E7" s="3"/>
      <c r="F7" s="3"/>
      <c r="G7" s="3"/>
      <c r="H7" s="3"/>
      <c r="I7" s="3"/>
      <c r="J7" s="3"/>
      <c r="K7" s="3"/>
      <c r="L7" s="3"/>
      <c r="M7" s="3"/>
      <c r="N7" s="3"/>
    </row>
    <row r="8" spans="1:14" x14ac:dyDescent="0.3">
      <c r="A8" s="3"/>
      <c r="B8" s="3"/>
      <c r="C8" s="3"/>
      <c r="D8" s="3"/>
      <c r="E8" s="3"/>
      <c r="F8" s="3"/>
      <c r="G8" s="3"/>
      <c r="H8" s="3"/>
      <c r="I8" s="3"/>
      <c r="J8" s="3"/>
      <c r="K8" s="3"/>
      <c r="L8" s="3"/>
      <c r="M8" s="3"/>
      <c r="N8" s="3"/>
    </row>
    <row r="9" spans="1:14" x14ac:dyDescent="0.3">
      <c r="A9" s="3"/>
      <c r="B9" s="3"/>
      <c r="C9" s="3"/>
      <c r="D9" s="3"/>
      <c r="E9" s="3"/>
      <c r="F9" s="3"/>
      <c r="G9" s="3"/>
      <c r="H9" s="3"/>
      <c r="I9" s="3"/>
      <c r="J9" s="3"/>
      <c r="K9" s="3"/>
      <c r="L9" s="3"/>
      <c r="M9" s="3"/>
      <c r="N9" s="3"/>
    </row>
    <row r="10" spans="1:14" x14ac:dyDescent="0.3">
      <c r="A10" s="3"/>
      <c r="B10" s="3"/>
      <c r="C10" s="3"/>
      <c r="D10" s="3"/>
      <c r="E10" s="3"/>
      <c r="F10" s="3"/>
      <c r="G10" s="3"/>
      <c r="H10" s="3"/>
      <c r="I10" s="3"/>
      <c r="J10" s="3"/>
      <c r="K10" s="3"/>
      <c r="L10" s="3"/>
      <c r="M10" s="3"/>
      <c r="N10" s="3"/>
    </row>
    <row r="11" spans="1:14" x14ac:dyDescent="0.3">
      <c r="A11" s="3"/>
      <c r="B11" s="3"/>
      <c r="C11" s="3"/>
      <c r="D11" s="3"/>
      <c r="E11" s="3"/>
      <c r="F11" s="3"/>
      <c r="G11" s="3"/>
      <c r="H11" s="3"/>
      <c r="I11" s="3"/>
      <c r="J11" s="3"/>
      <c r="K11" s="3"/>
      <c r="L11" s="3"/>
      <c r="M11" s="3"/>
      <c r="N11" s="3"/>
    </row>
    <row r="12" spans="1:14" x14ac:dyDescent="0.3">
      <c r="A12" s="3"/>
      <c r="B12" s="3"/>
      <c r="C12" s="3"/>
      <c r="D12" s="3"/>
      <c r="E12" s="3"/>
      <c r="F12" s="3"/>
      <c r="G12" s="3"/>
      <c r="H12" s="3"/>
      <c r="I12" s="3"/>
      <c r="J12" s="3"/>
      <c r="K12" s="3"/>
      <c r="L12" s="3"/>
      <c r="M12" s="3"/>
      <c r="N12" s="3"/>
    </row>
    <row r="13" spans="1:14" x14ac:dyDescent="0.3">
      <c r="A13" s="3"/>
      <c r="B13" s="3"/>
      <c r="C13" s="3"/>
      <c r="D13" s="3"/>
      <c r="E13" s="3"/>
      <c r="F13" s="3"/>
      <c r="G13" s="3"/>
      <c r="H13" s="3"/>
      <c r="I13" s="3"/>
      <c r="J13" s="3"/>
      <c r="K13" s="3"/>
      <c r="L13" s="3"/>
      <c r="M13" s="3"/>
      <c r="N13" s="3"/>
    </row>
    <row r="14" spans="1:14" x14ac:dyDescent="0.3">
      <c r="A14" s="3"/>
      <c r="B14" s="3"/>
      <c r="C14" s="3"/>
      <c r="D14" s="3"/>
      <c r="E14" s="3"/>
      <c r="F14" s="3"/>
      <c r="G14" s="3"/>
      <c r="H14" s="3"/>
      <c r="I14" s="3"/>
      <c r="J14" s="3"/>
      <c r="K14" s="3"/>
      <c r="L14" s="3"/>
      <c r="M14" s="3"/>
      <c r="N14" s="3"/>
    </row>
    <row r="15" spans="1:14" x14ac:dyDescent="0.3">
      <c r="A15" s="3"/>
      <c r="B15" s="3"/>
      <c r="C15" s="3"/>
      <c r="D15" s="3"/>
      <c r="E15" s="3"/>
      <c r="F15" s="3"/>
      <c r="G15" s="3"/>
      <c r="H15" s="3"/>
      <c r="I15" s="3"/>
      <c r="J15" s="3"/>
      <c r="K15" s="3"/>
      <c r="L15" s="3"/>
      <c r="M15" s="3"/>
      <c r="N15" s="3"/>
    </row>
    <row r="16" spans="1:14" x14ac:dyDescent="0.3">
      <c r="A16" s="3"/>
      <c r="B16" s="3"/>
      <c r="C16" s="3"/>
      <c r="D16" s="3"/>
      <c r="E16" s="3"/>
      <c r="F16" s="3"/>
      <c r="G16" s="3"/>
      <c r="H16" s="3"/>
      <c r="I16" s="3"/>
      <c r="J16" s="3"/>
      <c r="K16" s="3"/>
      <c r="L16" s="3"/>
      <c r="M16" s="3"/>
      <c r="N16"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E3165-3DB7-427D-BCF1-AECDBCDD7501}">
  <dimension ref="A1:P21"/>
  <sheetViews>
    <sheetView zoomScale="130" zoomScaleNormal="130" workbookViewId="0">
      <selection activeCell="R12" sqref="R12"/>
    </sheetView>
  </sheetViews>
  <sheetFormatPr defaultRowHeight="14.4" x14ac:dyDescent="0.3"/>
  <sheetData>
    <row r="1" spans="1:16" x14ac:dyDescent="0.3">
      <c r="A1" s="6"/>
      <c r="B1" s="6"/>
      <c r="C1" s="6"/>
      <c r="D1" s="6"/>
      <c r="E1" s="6"/>
      <c r="F1" s="6"/>
      <c r="G1" s="6"/>
      <c r="H1" s="6"/>
      <c r="I1" s="6"/>
      <c r="J1" s="6"/>
      <c r="K1" s="6"/>
      <c r="L1" s="6"/>
      <c r="M1" s="6"/>
      <c r="N1" s="6"/>
      <c r="O1" s="6"/>
      <c r="P1" s="6"/>
    </row>
    <row r="2" spans="1:16" x14ac:dyDescent="0.3">
      <c r="A2" s="6"/>
      <c r="B2" s="6"/>
      <c r="C2" s="6"/>
      <c r="D2" s="6"/>
      <c r="E2" s="6"/>
      <c r="F2" s="6"/>
      <c r="G2" s="6"/>
      <c r="H2" s="6"/>
      <c r="I2" s="6"/>
      <c r="J2" s="6"/>
      <c r="K2" s="6"/>
      <c r="L2" s="6"/>
      <c r="M2" s="6"/>
      <c r="N2" s="6"/>
      <c r="O2" s="6"/>
      <c r="P2" s="6"/>
    </row>
    <row r="3" spans="1:16" ht="15.6" x14ac:dyDescent="0.3">
      <c r="A3" s="6"/>
      <c r="B3" s="6"/>
      <c r="C3" s="6"/>
      <c r="D3" s="6"/>
      <c r="E3" s="6"/>
      <c r="F3" s="6"/>
      <c r="G3" s="6"/>
      <c r="H3" s="6"/>
      <c r="I3" s="6"/>
      <c r="J3" s="6"/>
      <c r="K3" s="6"/>
      <c r="L3" s="6"/>
      <c r="M3" s="6"/>
      <c r="N3" s="6"/>
      <c r="O3" s="5"/>
      <c r="P3" s="6"/>
    </row>
    <row r="4" spans="1:16" x14ac:dyDescent="0.3">
      <c r="A4" s="6"/>
      <c r="B4" s="6"/>
      <c r="C4" s="6"/>
      <c r="D4" s="6"/>
      <c r="E4" s="6"/>
      <c r="F4" s="6"/>
      <c r="G4" s="6"/>
      <c r="H4" s="6"/>
      <c r="I4" s="6"/>
      <c r="J4" s="6"/>
      <c r="K4" s="6"/>
      <c r="L4" s="6"/>
      <c r="M4" s="6"/>
      <c r="N4" s="6"/>
      <c r="O4" s="6"/>
      <c r="P4" s="6"/>
    </row>
    <row r="5" spans="1:16" x14ac:dyDescent="0.3">
      <c r="A5" s="6"/>
      <c r="B5" s="6"/>
      <c r="C5" s="6"/>
      <c r="D5" s="6"/>
      <c r="E5" s="6"/>
      <c r="F5" s="6"/>
      <c r="G5" s="6"/>
      <c r="H5" s="6"/>
      <c r="I5" s="6"/>
      <c r="J5" s="6"/>
      <c r="K5" s="6"/>
      <c r="L5" s="6"/>
      <c r="M5" s="6"/>
      <c r="N5" s="6"/>
      <c r="O5" s="6"/>
      <c r="P5" s="6"/>
    </row>
    <row r="6" spans="1:16" x14ac:dyDescent="0.3">
      <c r="A6" s="6"/>
      <c r="B6" s="6"/>
      <c r="C6" s="6"/>
      <c r="D6" s="6"/>
      <c r="E6" s="6"/>
      <c r="F6" s="6"/>
      <c r="G6" s="6"/>
      <c r="H6" s="6"/>
      <c r="I6" s="6"/>
      <c r="J6" s="6"/>
      <c r="K6" s="6"/>
      <c r="L6" s="6"/>
      <c r="M6" s="6"/>
      <c r="N6" s="6"/>
      <c r="O6" s="6"/>
      <c r="P6" s="6"/>
    </row>
    <row r="7" spans="1:16" x14ac:dyDescent="0.3">
      <c r="A7" s="6"/>
      <c r="B7" s="6"/>
      <c r="C7" s="6"/>
      <c r="D7" s="6"/>
      <c r="E7" s="6"/>
      <c r="F7" s="6"/>
      <c r="G7" s="6"/>
      <c r="H7" s="6"/>
      <c r="I7" s="6"/>
      <c r="J7" s="6"/>
      <c r="K7" s="6"/>
      <c r="L7" s="6"/>
      <c r="M7" s="6"/>
      <c r="N7" s="6"/>
      <c r="O7" s="6"/>
      <c r="P7" s="6"/>
    </row>
    <row r="8" spans="1:16" x14ac:dyDescent="0.3">
      <c r="A8" s="6"/>
      <c r="B8" s="6"/>
      <c r="C8" s="6"/>
      <c r="D8" s="6"/>
      <c r="E8" s="6"/>
      <c r="F8" s="6"/>
      <c r="G8" s="6"/>
      <c r="H8" s="6"/>
      <c r="I8" s="6"/>
      <c r="J8" s="6"/>
      <c r="K8" s="6"/>
      <c r="L8" s="6"/>
      <c r="M8" s="6"/>
      <c r="N8" s="6"/>
      <c r="O8" s="6"/>
      <c r="P8" s="6"/>
    </row>
    <row r="9" spans="1:16" x14ac:dyDescent="0.3">
      <c r="A9" s="6"/>
      <c r="B9" s="6"/>
      <c r="C9" s="6"/>
      <c r="D9" s="6"/>
      <c r="E9" s="6"/>
      <c r="F9" s="6"/>
      <c r="G9" s="6"/>
      <c r="H9" s="6"/>
      <c r="I9" s="6"/>
      <c r="J9" s="6"/>
      <c r="K9" s="6"/>
      <c r="L9" s="6"/>
      <c r="M9" s="6"/>
      <c r="N9" s="6"/>
      <c r="O9" s="6"/>
      <c r="P9" s="6"/>
    </row>
    <row r="10" spans="1:16" x14ac:dyDescent="0.3">
      <c r="A10" s="6"/>
      <c r="B10" s="6"/>
      <c r="C10" s="6"/>
      <c r="D10" s="6"/>
      <c r="E10" s="6"/>
      <c r="F10" s="6"/>
      <c r="G10" s="6"/>
      <c r="H10" s="6"/>
      <c r="I10" s="6"/>
      <c r="J10" s="6"/>
      <c r="K10" s="6"/>
      <c r="L10" s="6"/>
      <c r="M10" s="6"/>
      <c r="N10" s="6"/>
      <c r="O10" s="6"/>
      <c r="P10" s="6"/>
    </row>
    <row r="11" spans="1:16" x14ac:dyDescent="0.3">
      <c r="A11" s="6"/>
      <c r="B11" s="6"/>
      <c r="C11" s="6"/>
      <c r="D11" s="6"/>
      <c r="E11" s="6"/>
      <c r="F11" s="6"/>
      <c r="G11" s="6"/>
      <c r="H11" s="6"/>
      <c r="I11" s="6"/>
      <c r="J11" s="6"/>
      <c r="K11" s="6"/>
      <c r="L11" s="6"/>
      <c r="M11" s="6"/>
      <c r="N11" s="6"/>
      <c r="O11" s="6"/>
      <c r="P11" s="6"/>
    </row>
    <row r="12" spans="1:16" x14ac:dyDescent="0.3">
      <c r="A12" s="6"/>
      <c r="B12" s="6"/>
      <c r="C12" s="6"/>
      <c r="D12" s="6"/>
      <c r="E12" s="6"/>
      <c r="F12" s="6"/>
      <c r="G12" s="6"/>
      <c r="H12" s="6"/>
      <c r="I12" s="6"/>
      <c r="J12" s="6"/>
      <c r="K12" s="6"/>
      <c r="L12" s="6"/>
      <c r="M12" s="6"/>
      <c r="N12" s="6"/>
      <c r="O12" s="6"/>
      <c r="P12" s="6"/>
    </row>
    <row r="13" spans="1:16" x14ac:dyDescent="0.3">
      <c r="A13" s="6"/>
      <c r="B13" s="6"/>
      <c r="C13" s="6"/>
      <c r="D13" s="6"/>
      <c r="E13" s="6"/>
      <c r="F13" s="6"/>
      <c r="G13" s="6"/>
      <c r="H13" s="6"/>
      <c r="I13" s="6"/>
      <c r="J13" s="6"/>
      <c r="K13" s="6"/>
      <c r="L13" s="6"/>
      <c r="M13" s="6"/>
      <c r="N13" s="6"/>
      <c r="O13" s="6"/>
      <c r="P13" s="6"/>
    </row>
    <row r="14" spans="1:16" x14ac:dyDescent="0.3">
      <c r="A14" s="6"/>
      <c r="B14" s="6"/>
      <c r="C14" s="6"/>
      <c r="D14" s="6"/>
      <c r="E14" s="6"/>
      <c r="F14" s="6"/>
      <c r="G14" s="6"/>
      <c r="H14" s="6"/>
      <c r="I14" s="6"/>
      <c r="J14" s="6"/>
      <c r="K14" s="6"/>
      <c r="L14" s="6"/>
      <c r="M14" s="6"/>
      <c r="N14" s="6"/>
      <c r="O14" s="6"/>
      <c r="P14" s="6"/>
    </row>
    <row r="15" spans="1:16" x14ac:dyDescent="0.3">
      <c r="A15" s="6"/>
      <c r="B15" s="6"/>
      <c r="C15" s="6"/>
      <c r="D15" s="6"/>
      <c r="E15" s="6"/>
      <c r="F15" s="6"/>
      <c r="G15" s="6"/>
      <c r="H15" s="6"/>
      <c r="I15" s="6"/>
      <c r="J15" s="6"/>
      <c r="K15" s="6"/>
      <c r="L15" s="6"/>
      <c r="M15" s="6"/>
      <c r="N15" s="6"/>
      <c r="O15" s="6"/>
      <c r="P15" s="6"/>
    </row>
    <row r="16" spans="1:16" x14ac:dyDescent="0.3">
      <c r="A16" s="6"/>
      <c r="B16" s="6"/>
      <c r="C16" s="6"/>
      <c r="D16" s="6"/>
      <c r="E16" s="6"/>
      <c r="F16" s="6"/>
      <c r="G16" s="6"/>
      <c r="H16" s="6"/>
      <c r="I16" s="6"/>
      <c r="J16" s="6"/>
      <c r="K16" s="6"/>
      <c r="L16" s="6"/>
      <c r="M16" s="6"/>
      <c r="N16" s="6"/>
      <c r="O16" s="6"/>
      <c r="P16" s="6"/>
    </row>
    <row r="17" spans="1:16" x14ac:dyDescent="0.3">
      <c r="A17" s="6"/>
      <c r="B17" s="6"/>
      <c r="C17" s="6"/>
      <c r="D17" s="6"/>
      <c r="E17" s="6"/>
      <c r="F17" s="6"/>
      <c r="G17" s="6"/>
      <c r="H17" s="6"/>
      <c r="I17" s="6"/>
      <c r="J17" s="6"/>
      <c r="K17" s="6"/>
      <c r="L17" s="6"/>
      <c r="M17" s="6"/>
      <c r="N17" s="6"/>
      <c r="O17" s="6"/>
      <c r="P17" s="6"/>
    </row>
    <row r="18" spans="1:16" x14ac:dyDescent="0.3">
      <c r="A18" s="6"/>
      <c r="B18" s="6"/>
      <c r="C18" s="6"/>
      <c r="D18" s="6"/>
      <c r="E18" s="6"/>
      <c r="F18" s="6"/>
      <c r="G18" s="6"/>
      <c r="H18" s="6"/>
      <c r="I18" s="6"/>
      <c r="J18" s="6"/>
      <c r="K18" s="6"/>
      <c r="L18" s="6"/>
      <c r="M18" s="6"/>
      <c r="N18" s="6"/>
      <c r="O18" s="6"/>
      <c r="P18" s="6"/>
    </row>
    <row r="19" spans="1:16" x14ac:dyDescent="0.3">
      <c r="A19" s="6"/>
      <c r="B19" s="6"/>
      <c r="C19" s="6"/>
      <c r="D19" s="6"/>
      <c r="E19" s="6"/>
      <c r="F19" s="6"/>
      <c r="G19" s="6"/>
      <c r="H19" s="6"/>
      <c r="I19" s="6"/>
      <c r="J19" s="6"/>
      <c r="K19" s="6"/>
      <c r="L19" s="6"/>
      <c r="M19" s="6"/>
      <c r="N19" s="6"/>
      <c r="O19" s="6"/>
      <c r="P19" s="6"/>
    </row>
    <row r="20" spans="1:16" x14ac:dyDescent="0.3">
      <c r="A20" s="6"/>
      <c r="B20" s="6"/>
      <c r="C20" s="6"/>
      <c r="D20" s="6"/>
      <c r="E20" s="6"/>
      <c r="F20" s="6"/>
      <c r="G20" s="6"/>
      <c r="H20" s="6"/>
      <c r="I20" s="6"/>
      <c r="J20" s="6"/>
      <c r="K20" s="6"/>
      <c r="L20" s="6"/>
      <c r="M20" s="6"/>
      <c r="N20" s="6"/>
      <c r="O20" s="6"/>
      <c r="P20" s="6"/>
    </row>
    <row r="21" spans="1:16" x14ac:dyDescent="0.3">
      <c r="A21" s="6"/>
      <c r="B21" s="6"/>
      <c r="C21" s="6"/>
      <c r="D21" s="6"/>
      <c r="E21" s="6"/>
      <c r="F21" s="6"/>
      <c r="G21" s="6"/>
      <c r="H21" s="6"/>
      <c r="I21" s="6"/>
      <c r="J21" s="6"/>
      <c r="K21" s="6"/>
      <c r="L21" s="6"/>
      <c r="M21" s="6"/>
      <c r="N21" s="6"/>
      <c r="O21" s="6"/>
      <c r="P21"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25356-4316-4DCB-86A0-9D6433A96587}">
  <dimension ref="A1:Q21"/>
  <sheetViews>
    <sheetView zoomScale="120" zoomScaleNormal="120" workbookViewId="0">
      <selection activeCell="R9" sqref="R9"/>
    </sheetView>
  </sheetViews>
  <sheetFormatPr defaultRowHeight="14.4" x14ac:dyDescent="0.3"/>
  <sheetData>
    <row r="1" spans="1:17" ht="15.6" x14ac:dyDescent="0.3">
      <c r="A1" s="5"/>
      <c r="B1" s="5"/>
      <c r="C1" s="5"/>
      <c r="D1" s="5"/>
      <c r="E1" s="5"/>
      <c r="F1" s="5"/>
      <c r="G1" s="5"/>
      <c r="H1" s="5"/>
      <c r="I1" s="5"/>
      <c r="J1" s="6"/>
      <c r="K1" s="6"/>
      <c r="L1" s="6"/>
      <c r="M1" s="6"/>
      <c r="N1" s="6"/>
      <c r="O1" s="6"/>
      <c r="P1" s="6"/>
      <c r="Q1" s="6"/>
    </row>
    <row r="2" spans="1:17" ht="15.6" x14ac:dyDescent="0.3">
      <c r="A2" s="5"/>
      <c r="B2" s="5"/>
      <c r="C2" s="5"/>
      <c r="D2" s="5"/>
      <c r="E2" s="5"/>
      <c r="F2" s="5"/>
      <c r="G2" s="5"/>
      <c r="H2" s="5"/>
      <c r="I2" s="5"/>
      <c r="J2" s="6"/>
      <c r="K2" s="6"/>
      <c r="L2" s="6"/>
      <c r="M2" s="6"/>
      <c r="N2" s="6"/>
      <c r="O2" s="6"/>
      <c r="P2" s="6"/>
      <c r="Q2" s="6"/>
    </row>
    <row r="3" spans="1:17" ht="15.6" x14ac:dyDescent="0.3">
      <c r="A3" s="5"/>
      <c r="B3" s="5"/>
      <c r="C3" s="5"/>
      <c r="D3" s="5"/>
      <c r="E3" s="5"/>
      <c r="F3" s="5"/>
      <c r="G3" s="5"/>
      <c r="H3" s="5"/>
      <c r="I3" s="5"/>
      <c r="J3" s="6"/>
      <c r="K3" s="6"/>
      <c r="L3" s="6"/>
      <c r="M3" s="6"/>
      <c r="N3" s="6"/>
      <c r="O3" s="6"/>
      <c r="P3" s="6"/>
      <c r="Q3" s="6"/>
    </row>
    <row r="4" spans="1:17" ht="15.6" x14ac:dyDescent="0.3">
      <c r="A4" s="5"/>
      <c r="B4" s="5"/>
      <c r="C4" s="5"/>
      <c r="D4" s="5"/>
      <c r="E4" s="5"/>
      <c r="F4" s="5"/>
      <c r="G4" s="5"/>
      <c r="H4" s="5"/>
      <c r="I4" s="5"/>
      <c r="J4" s="6"/>
      <c r="K4" s="6"/>
      <c r="L4" s="6"/>
      <c r="M4" s="6"/>
      <c r="N4" s="6"/>
      <c r="O4" s="6"/>
      <c r="P4" s="6"/>
      <c r="Q4" s="6"/>
    </row>
    <row r="5" spans="1:17" ht="15.6" x14ac:dyDescent="0.3">
      <c r="A5" s="5"/>
      <c r="B5" s="5"/>
      <c r="C5" s="5"/>
      <c r="D5" s="5"/>
      <c r="E5" s="5"/>
      <c r="F5" s="5"/>
      <c r="G5" s="5"/>
      <c r="H5" s="5"/>
      <c r="I5" s="5"/>
      <c r="J5" s="6"/>
      <c r="K5" s="6"/>
      <c r="L5" s="6"/>
      <c r="M5" s="6"/>
      <c r="N5" s="6"/>
      <c r="O5" s="6"/>
      <c r="P5" s="6"/>
      <c r="Q5" s="6"/>
    </row>
    <row r="6" spans="1:17" ht="15.6" x14ac:dyDescent="0.3">
      <c r="A6" s="5"/>
      <c r="B6" s="5"/>
      <c r="C6" s="5"/>
      <c r="D6" s="5"/>
      <c r="E6" s="5"/>
      <c r="F6" s="5"/>
      <c r="G6" s="5"/>
      <c r="H6" s="5"/>
      <c r="I6" s="5"/>
      <c r="J6" s="6"/>
      <c r="K6" s="6"/>
      <c r="L6" s="6"/>
      <c r="M6" s="6"/>
      <c r="N6" s="6"/>
      <c r="O6" s="6"/>
      <c r="P6" s="6"/>
      <c r="Q6" s="6"/>
    </row>
    <row r="7" spans="1:17" ht="15.6" x14ac:dyDescent="0.3">
      <c r="A7" s="5"/>
      <c r="B7" s="5"/>
      <c r="C7" s="5"/>
      <c r="D7" s="5"/>
      <c r="E7" s="5"/>
      <c r="F7" s="5"/>
      <c r="G7" s="5"/>
      <c r="H7" s="5"/>
      <c r="I7" s="5"/>
      <c r="J7" s="6"/>
      <c r="K7" s="6"/>
      <c r="L7" s="6"/>
      <c r="M7" s="6"/>
      <c r="N7" s="6"/>
      <c r="O7" s="6"/>
      <c r="P7" s="6"/>
      <c r="Q7" s="6"/>
    </row>
    <row r="8" spans="1:17" ht="15.6" x14ac:dyDescent="0.3">
      <c r="A8" s="5"/>
      <c r="B8" s="5"/>
      <c r="C8" s="5"/>
      <c r="D8" s="5"/>
      <c r="E8" s="5"/>
      <c r="F8" s="5"/>
      <c r="G8" s="5"/>
      <c r="H8" s="5"/>
      <c r="I8" s="5"/>
      <c r="J8" s="6"/>
      <c r="K8" s="6"/>
      <c r="L8" s="6"/>
      <c r="M8" s="6"/>
      <c r="N8" s="6"/>
      <c r="O8" s="6"/>
      <c r="P8" s="6"/>
      <c r="Q8" s="6"/>
    </row>
    <row r="9" spans="1:17" ht="15.6" x14ac:dyDescent="0.3">
      <c r="A9" s="5"/>
      <c r="B9" s="5"/>
      <c r="C9" s="5"/>
      <c r="D9" s="5"/>
      <c r="E9" s="5"/>
      <c r="F9" s="5"/>
      <c r="G9" s="5"/>
      <c r="H9" s="5"/>
      <c r="I9" s="5"/>
      <c r="J9" s="6"/>
      <c r="K9" s="6"/>
      <c r="L9" s="6"/>
      <c r="M9" s="6"/>
      <c r="N9" s="6"/>
      <c r="O9" s="6"/>
      <c r="P9" s="6"/>
      <c r="Q9" s="6"/>
    </row>
    <row r="10" spans="1:17" ht="15.6" x14ac:dyDescent="0.3">
      <c r="A10" s="5"/>
      <c r="B10" s="5"/>
      <c r="C10" s="5"/>
      <c r="D10" s="5"/>
      <c r="E10" s="5"/>
      <c r="F10" s="5"/>
      <c r="G10" s="5"/>
      <c r="H10" s="5"/>
      <c r="I10" s="5"/>
      <c r="J10" s="6"/>
      <c r="K10" s="6"/>
      <c r="L10" s="6"/>
      <c r="M10" s="6"/>
      <c r="N10" s="6"/>
      <c r="O10" s="6"/>
      <c r="P10" s="6"/>
      <c r="Q10" s="6"/>
    </row>
    <row r="11" spans="1:17" ht="15.6" x14ac:dyDescent="0.3">
      <c r="A11" s="5"/>
      <c r="B11" s="5"/>
      <c r="C11" s="5"/>
      <c r="D11" s="5"/>
      <c r="E11" s="5"/>
      <c r="F11" s="5"/>
      <c r="G11" s="5"/>
      <c r="H11" s="5"/>
      <c r="I11" s="5"/>
      <c r="J11" s="6"/>
      <c r="K11" s="6"/>
      <c r="L11" s="6"/>
      <c r="M11" s="6"/>
      <c r="N11" s="6"/>
      <c r="O11" s="6"/>
      <c r="P11" s="6"/>
      <c r="Q11" s="6"/>
    </row>
    <row r="12" spans="1:17" ht="15.6" x14ac:dyDescent="0.3">
      <c r="A12" s="5"/>
      <c r="B12" s="5"/>
      <c r="C12" s="5"/>
      <c r="D12" s="5"/>
      <c r="E12" s="5"/>
      <c r="F12" s="5"/>
      <c r="G12" s="5"/>
      <c r="H12" s="5"/>
      <c r="I12" s="5"/>
      <c r="J12" s="6"/>
      <c r="K12" s="6"/>
      <c r="L12" s="6"/>
      <c r="M12" s="6"/>
      <c r="N12" s="6"/>
      <c r="O12" s="6"/>
      <c r="P12" s="6"/>
      <c r="Q12" s="6"/>
    </row>
    <row r="13" spans="1:17" ht="15.6" x14ac:dyDescent="0.3">
      <c r="A13" s="5"/>
      <c r="B13" s="5"/>
      <c r="C13" s="5"/>
      <c r="D13" s="5"/>
      <c r="E13" s="5"/>
      <c r="F13" s="5"/>
      <c r="G13" s="5"/>
      <c r="H13" s="5"/>
      <c r="I13" s="5"/>
      <c r="J13" s="6"/>
      <c r="K13" s="6"/>
      <c r="L13" s="6"/>
      <c r="M13" s="6"/>
      <c r="N13" s="6"/>
      <c r="O13" s="6"/>
      <c r="P13" s="6"/>
      <c r="Q13" s="6"/>
    </row>
    <row r="14" spans="1:17" ht="15.6" x14ac:dyDescent="0.3">
      <c r="A14" s="5"/>
      <c r="B14" s="5"/>
      <c r="C14" s="5"/>
      <c r="D14" s="5"/>
      <c r="E14" s="5"/>
      <c r="F14" s="5"/>
      <c r="G14" s="5"/>
      <c r="H14" s="5"/>
      <c r="I14" s="5"/>
      <c r="J14" s="6"/>
      <c r="K14" s="6"/>
      <c r="L14" s="6"/>
      <c r="M14" s="6"/>
      <c r="N14" s="6"/>
      <c r="O14" s="6"/>
      <c r="P14" s="6"/>
      <c r="Q14" s="6"/>
    </row>
    <row r="15" spans="1:17" ht="15.6" x14ac:dyDescent="0.3">
      <c r="A15" s="5"/>
      <c r="B15" s="5"/>
      <c r="C15" s="5"/>
      <c r="D15" s="5"/>
      <c r="E15" s="5"/>
      <c r="F15" s="5"/>
      <c r="G15" s="5"/>
      <c r="H15" s="5"/>
      <c r="I15" s="5"/>
      <c r="J15" s="6"/>
      <c r="K15" s="6"/>
      <c r="L15" s="6"/>
      <c r="M15" s="6"/>
      <c r="N15" s="6"/>
      <c r="O15" s="6"/>
      <c r="P15" s="6"/>
      <c r="Q15" s="6"/>
    </row>
    <row r="16" spans="1:17" x14ac:dyDescent="0.3">
      <c r="A16" s="6"/>
      <c r="B16" s="6"/>
      <c r="C16" s="6"/>
      <c r="D16" s="6"/>
      <c r="E16" s="6"/>
      <c r="F16" s="6"/>
      <c r="G16" s="6"/>
      <c r="H16" s="6"/>
      <c r="I16" s="6"/>
      <c r="J16" s="6"/>
      <c r="K16" s="6"/>
      <c r="L16" s="6"/>
      <c r="M16" s="6"/>
      <c r="N16" s="6"/>
      <c r="O16" s="6"/>
      <c r="P16" s="6"/>
      <c r="Q16" s="6"/>
    </row>
    <row r="17" spans="1:17" x14ac:dyDescent="0.3">
      <c r="A17" s="6"/>
      <c r="B17" s="6"/>
      <c r="C17" s="6"/>
      <c r="D17" s="6"/>
      <c r="E17" s="6"/>
      <c r="F17" s="6"/>
      <c r="G17" s="6"/>
      <c r="H17" s="6"/>
      <c r="I17" s="6"/>
      <c r="J17" s="6"/>
      <c r="K17" s="6"/>
      <c r="L17" s="6"/>
      <c r="M17" s="6"/>
      <c r="N17" s="6"/>
      <c r="O17" s="6"/>
      <c r="P17" s="6"/>
      <c r="Q17" s="6"/>
    </row>
    <row r="18" spans="1:17" x14ac:dyDescent="0.3">
      <c r="A18" s="6"/>
      <c r="B18" s="6"/>
      <c r="C18" s="6"/>
      <c r="D18" s="6"/>
      <c r="E18" s="6"/>
      <c r="F18" s="6"/>
      <c r="G18" s="6"/>
      <c r="H18" s="6"/>
      <c r="I18" s="6"/>
      <c r="J18" s="6"/>
      <c r="K18" s="6"/>
      <c r="L18" s="6"/>
      <c r="M18" s="6"/>
      <c r="N18" s="6"/>
      <c r="O18" s="6"/>
      <c r="P18" s="6"/>
      <c r="Q18" s="6"/>
    </row>
    <row r="19" spans="1:17" x14ac:dyDescent="0.3">
      <c r="A19" s="6"/>
      <c r="B19" s="6"/>
      <c r="C19" s="6"/>
      <c r="D19" s="6"/>
      <c r="E19" s="6"/>
      <c r="F19" s="6"/>
      <c r="G19" s="6"/>
      <c r="H19" s="6"/>
      <c r="I19" s="6"/>
      <c r="J19" s="6"/>
      <c r="K19" s="6"/>
      <c r="L19" s="6"/>
      <c r="M19" s="6"/>
      <c r="N19" s="6"/>
      <c r="O19" s="6"/>
      <c r="P19" s="6"/>
      <c r="Q19" s="6"/>
    </row>
    <row r="20" spans="1:17" x14ac:dyDescent="0.3">
      <c r="A20" s="6"/>
      <c r="B20" s="6"/>
      <c r="C20" s="6"/>
      <c r="D20" s="6"/>
      <c r="E20" s="6"/>
      <c r="F20" s="6"/>
      <c r="G20" s="6"/>
      <c r="H20" s="6"/>
      <c r="I20" s="6"/>
      <c r="J20" s="6"/>
      <c r="K20" s="6"/>
      <c r="L20" s="6"/>
      <c r="M20" s="6"/>
      <c r="N20" s="6"/>
      <c r="O20" s="6"/>
      <c r="P20" s="6"/>
      <c r="Q20" s="6"/>
    </row>
    <row r="21" spans="1:17" x14ac:dyDescent="0.3">
      <c r="A21" s="6"/>
      <c r="B21" s="6"/>
      <c r="C21" s="6"/>
      <c r="D21" s="6"/>
      <c r="E21" s="6"/>
      <c r="F21" s="6"/>
      <c r="G21" s="6"/>
      <c r="H21" s="6"/>
      <c r="I21" s="6"/>
      <c r="J21" s="6"/>
      <c r="K21" s="6"/>
      <c r="L21" s="6"/>
      <c r="M21" s="6"/>
      <c r="N21" s="6"/>
      <c r="O21" s="6"/>
      <c r="P21" s="6"/>
      <c r="Q21"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F14CD-97BE-4149-9C13-9437A51E3A98}">
  <dimension ref="A1:P21"/>
  <sheetViews>
    <sheetView tabSelected="1" zoomScale="120" zoomScaleNormal="120" workbookViewId="0">
      <selection activeCell="Q11" sqref="Q11"/>
    </sheetView>
  </sheetViews>
  <sheetFormatPr defaultRowHeight="14.4" x14ac:dyDescent="0.3"/>
  <sheetData>
    <row r="1" spans="1:16" x14ac:dyDescent="0.3">
      <c r="A1" s="6"/>
      <c r="B1" s="6"/>
      <c r="C1" s="6"/>
      <c r="D1" s="6"/>
      <c r="E1" s="6"/>
      <c r="F1" s="6"/>
      <c r="G1" s="6"/>
      <c r="H1" s="6"/>
      <c r="I1" s="6"/>
      <c r="J1" s="6"/>
      <c r="K1" s="6"/>
      <c r="L1" s="6"/>
      <c r="M1" s="6"/>
      <c r="N1" s="6"/>
      <c r="O1" s="6"/>
      <c r="P1" s="6"/>
    </row>
    <row r="2" spans="1:16" x14ac:dyDescent="0.3">
      <c r="A2" s="6"/>
      <c r="B2" s="6"/>
      <c r="C2" s="6"/>
      <c r="D2" s="6"/>
      <c r="E2" s="6"/>
      <c r="F2" s="6"/>
      <c r="G2" s="6"/>
      <c r="H2" s="6"/>
      <c r="I2" s="6"/>
      <c r="J2" s="6"/>
      <c r="K2" s="6"/>
      <c r="L2" s="6"/>
      <c r="M2" s="6"/>
      <c r="N2" s="6"/>
      <c r="O2" s="6"/>
      <c r="P2" s="6"/>
    </row>
    <row r="3" spans="1:16" ht="15.6" x14ac:dyDescent="0.3">
      <c r="A3" s="6"/>
      <c r="B3" s="6"/>
      <c r="C3" s="6"/>
      <c r="D3" s="6"/>
      <c r="E3" s="6"/>
      <c r="F3" s="6"/>
      <c r="G3" s="6"/>
      <c r="H3" s="6"/>
      <c r="I3" s="6"/>
      <c r="J3" s="6"/>
      <c r="K3" s="6"/>
      <c r="L3" s="6"/>
      <c r="M3" s="6"/>
      <c r="N3" s="6"/>
      <c r="O3" s="5"/>
      <c r="P3" s="6"/>
    </row>
    <row r="4" spans="1:16" x14ac:dyDescent="0.3">
      <c r="A4" s="6"/>
      <c r="B4" s="6"/>
      <c r="C4" s="6"/>
      <c r="D4" s="6"/>
      <c r="E4" s="6"/>
      <c r="F4" s="6"/>
      <c r="G4" s="6"/>
      <c r="H4" s="6"/>
      <c r="I4" s="6"/>
      <c r="J4" s="6"/>
      <c r="K4" s="6"/>
      <c r="L4" s="6"/>
      <c r="M4" s="6"/>
      <c r="N4" s="6"/>
      <c r="O4" s="6"/>
      <c r="P4" s="6"/>
    </row>
    <row r="5" spans="1:16" x14ac:dyDescent="0.3">
      <c r="A5" s="6"/>
      <c r="B5" s="6"/>
      <c r="C5" s="6"/>
      <c r="D5" s="6"/>
      <c r="E5" s="6"/>
      <c r="F5" s="6"/>
      <c r="G5" s="6"/>
      <c r="H5" s="6"/>
      <c r="I5" s="6"/>
      <c r="J5" s="6"/>
      <c r="K5" s="6"/>
      <c r="L5" s="6"/>
      <c r="M5" s="6"/>
      <c r="N5" s="6"/>
      <c r="O5" s="6"/>
      <c r="P5" s="6"/>
    </row>
    <row r="6" spans="1:16" x14ac:dyDescent="0.3">
      <c r="A6" s="6"/>
      <c r="B6" s="6"/>
      <c r="C6" s="6"/>
      <c r="D6" s="6"/>
      <c r="E6" s="6"/>
      <c r="F6" s="6"/>
      <c r="G6" s="6"/>
      <c r="H6" s="6"/>
      <c r="I6" s="6"/>
      <c r="J6" s="6"/>
      <c r="K6" s="6"/>
      <c r="L6" s="6"/>
      <c r="M6" s="6"/>
      <c r="N6" s="6"/>
      <c r="O6" s="6"/>
      <c r="P6" s="6"/>
    </row>
    <row r="7" spans="1:16" x14ac:dyDescent="0.3">
      <c r="A7" s="6"/>
      <c r="B7" s="6"/>
      <c r="C7" s="6"/>
      <c r="D7" s="6"/>
      <c r="E7" s="6"/>
      <c r="F7" s="6"/>
      <c r="G7" s="6"/>
      <c r="H7" s="6"/>
      <c r="I7" s="6"/>
      <c r="J7" s="6"/>
      <c r="K7" s="6"/>
      <c r="L7" s="6"/>
      <c r="M7" s="6"/>
      <c r="N7" s="6"/>
      <c r="O7" s="6"/>
      <c r="P7" s="6"/>
    </row>
    <row r="8" spans="1:16" x14ac:dyDescent="0.3">
      <c r="A8" s="6"/>
      <c r="B8" s="6"/>
      <c r="C8" s="6"/>
      <c r="D8" s="6"/>
      <c r="E8" s="6"/>
      <c r="F8" s="6"/>
      <c r="G8" s="6"/>
      <c r="H8" s="6"/>
      <c r="I8" s="6"/>
      <c r="J8" s="6"/>
      <c r="K8" s="6"/>
      <c r="L8" s="6"/>
      <c r="M8" s="6"/>
      <c r="N8" s="6"/>
      <c r="O8" s="6"/>
      <c r="P8" s="6"/>
    </row>
    <row r="9" spans="1:16" x14ac:dyDescent="0.3">
      <c r="A9" s="6"/>
      <c r="B9" s="6"/>
      <c r="C9" s="6"/>
      <c r="D9" s="6"/>
      <c r="E9" s="6"/>
      <c r="F9" s="6"/>
      <c r="G9" s="6"/>
      <c r="H9" s="6"/>
      <c r="I9" s="6"/>
      <c r="J9" s="6"/>
      <c r="K9" s="6"/>
      <c r="L9" s="6"/>
      <c r="M9" s="6"/>
      <c r="N9" s="6"/>
      <c r="O9" s="6"/>
      <c r="P9" s="6"/>
    </row>
    <row r="10" spans="1:16" x14ac:dyDescent="0.3">
      <c r="A10" s="6"/>
      <c r="B10" s="6"/>
      <c r="C10" s="6"/>
      <c r="D10" s="6"/>
      <c r="E10" s="6"/>
      <c r="F10" s="6"/>
      <c r="G10" s="6"/>
      <c r="H10" s="6"/>
      <c r="I10" s="6"/>
      <c r="J10" s="6"/>
      <c r="K10" s="6"/>
      <c r="L10" s="6"/>
      <c r="M10" s="6"/>
      <c r="N10" s="6"/>
      <c r="O10" s="6"/>
      <c r="P10" s="6"/>
    </row>
    <row r="11" spans="1:16" x14ac:dyDescent="0.3">
      <c r="A11" s="6"/>
      <c r="B11" s="6"/>
      <c r="C11" s="6"/>
      <c r="D11" s="6"/>
      <c r="E11" s="6"/>
      <c r="F11" s="6"/>
      <c r="G11" s="6"/>
      <c r="H11" s="6"/>
      <c r="I11" s="6"/>
      <c r="J11" s="6"/>
      <c r="K11" s="6"/>
      <c r="L11" s="6"/>
      <c r="M11" s="6"/>
      <c r="N11" s="6"/>
      <c r="O11" s="6"/>
      <c r="P11" s="6"/>
    </row>
    <row r="12" spans="1:16" x14ac:dyDescent="0.3">
      <c r="A12" s="6"/>
      <c r="B12" s="6"/>
      <c r="C12" s="6"/>
      <c r="D12" s="6"/>
      <c r="E12" s="6"/>
      <c r="F12" s="6"/>
      <c r="G12" s="6"/>
      <c r="H12" s="6"/>
      <c r="I12" s="6"/>
      <c r="J12" s="6"/>
      <c r="K12" s="6"/>
      <c r="L12" s="6"/>
      <c r="M12" s="6"/>
      <c r="N12" s="6"/>
      <c r="O12" s="6"/>
      <c r="P12" s="6"/>
    </row>
    <row r="13" spans="1:16" x14ac:dyDescent="0.3">
      <c r="A13" s="6"/>
      <c r="B13" s="6"/>
      <c r="C13" s="6"/>
      <c r="D13" s="6"/>
      <c r="E13" s="6"/>
      <c r="F13" s="6"/>
      <c r="G13" s="6"/>
      <c r="H13" s="6"/>
      <c r="I13" s="6"/>
      <c r="J13" s="6"/>
      <c r="K13" s="6"/>
      <c r="L13" s="6"/>
      <c r="M13" s="6"/>
      <c r="N13" s="6"/>
      <c r="O13" s="6"/>
      <c r="P13" s="6"/>
    </row>
    <row r="14" spans="1:16" x14ac:dyDescent="0.3">
      <c r="A14" s="6"/>
      <c r="B14" s="6"/>
      <c r="C14" s="6"/>
      <c r="D14" s="6"/>
      <c r="E14" s="6"/>
      <c r="F14" s="6"/>
      <c r="G14" s="6"/>
      <c r="H14" s="6"/>
      <c r="I14" s="6"/>
      <c r="J14" s="6"/>
      <c r="K14" s="6"/>
      <c r="L14" s="6"/>
      <c r="M14" s="6"/>
      <c r="N14" s="6"/>
      <c r="O14" s="6"/>
      <c r="P14" s="6"/>
    </row>
    <row r="15" spans="1:16" x14ac:dyDescent="0.3">
      <c r="A15" s="6"/>
      <c r="B15" s="6"/>
      <c r="C15" s="6"/>
      <c r="D15" s="6"/>
      <c r="E15" s="6"/>
      <c r="F15" s="6"/>
      <c r="G15" s="6"/>
      <c r="H15" s="6"/>
      <c r="I15" s="6"/>
      <c r="J15" s="6"/>
      <c r="K15" s="6"/>
      <c r="L15" s="6"/>
      <c r="M15" s="6"/>
      <c r="N15" s="6"/>
      <c r="O15" s="6"/>
      <c r="P15" s="6"/>
    </row>
    <row r="16" spans="1:16" x14ac:dyDescent="0.3">
      <c r="A16" s="6"/>
      <c r="B16" s="6"/>
      <c r="C16" s="6"/>
      <c r="D16" s="6"/>
      <c r="E16" s="6"/>
      <c r="F16" s="6"/>
      <c r="G16" s="6"/>
      <c r="H16" s="6"/>
      <c r="I16" s="6"/>
      <c r="J16" s="6"/>
      <c r="K16" s="6"/>
      <c r="L16" s="6"/>
      <c r="M16" s="6"/>
      <c r="N16" s="6"/>
      <c r="O16" s="6"/>
      <c r="P16" s="6"/>
    </row>
    <row r="17" spans="1:16" x14ac:dyDescent="0.3">
      <c r="A17" s="6"/>
      <c r="B17" s="6"/>
      <c r="C17" s="6"/>
      <c r="D17" s="6"/>
      <c r="E17" s="6"/>
      <c r="F17" s="6"/>
      <c r="G17" s="6"/>
      <c r="H17" s="6"/>
      <c r="I17" s="6"/>
      <c r="J17" s="6"/>
      <c r="K17" s="6"/>
      <c r="L17" s="6"/>
      <c r="M17" s="6"/>
      <c r="N17" s="6"/>
      <c r="O17" s="6"/>
      <c r="P17" s="6"/>
    </row>
    <row r="18" spans="1:16" x14ac:dyDescent="0.3">
      <c r="A18" s="6"/>
      <c r="B18" s="6"/>
      <c r="C18" s="6"/>
      <c r="D18" s="6"/>
      <c r="E18" s="6"/>
      <c r="F18" s="6"/>
      <c r="G18" s="6"/>
      <c r="H18" s="6"/>
      <c r="I18" s="6"/>
      <c r="J18" s="6"/>
      <c r="K18" s="6"/>
      <c r="L18" s="6"/>
      <c r="M18" s="6"/>
      <c r="N18" s="6"/>
      <c r="O18" s="6"/>
      <c r="P18" s="6"/>
    </row>
    <row r="19" spans="1:16" x14ac:dyDescent="0.3">
      <c r="A19" s="6"/>
      <c r="B19" s="6"/>
      <c r="C19" s="6"/>
      <c r="D19" s="6"/>
      <c r="E19" s="6"/>
      <c r="F19" s="6"/>
      <c r="G19" s="6"/>
      <c r="H19" s="6"/>
      <c r="I19" s="6"/>
      <c r="J19" s="6"/>
      <c r="K19" s="6"/>
      <c r="L19" s="6"/>
      <c r="M19" s="6"/>
      <c r="N19" s="6"/>
      <c r="O19" s="6"/>
      <c r="P19" s="6"/>
    </row>
    <row r="20" spans="1:16" x14ac:dyDescent="0.3">
      <c r="A20" s="6"/>
      <c r="B20" s="6"/>
      <c r="C20" s="6"/>
      <c r="D20" s="6"/>
      <c r="E20" s="6"/>
      <c r="F20" s="6"/>
      <c r="G20" s="6"/>
      <c r="H20" s="6"/>
      <c r="I20" s="6"/>
      <c r="J20" s="6"/>
      <c r="K20" s="6"/>
      <c r="L20" s="6"/>
      <c r="M20" s="6"/>
      <c r="N20" s="6"/>
      <c r="O20" s="6"/>
      <c r="P20" s="6"/>
    </row>
    <row r="21" spans="1:16" x14ac:dyDescent="0.3">
      <c r="A21" s="6"/>
      <c r="B21" s="6"/>
      <c r="C21" s="6"/>
      <c r="D21" s="6"/>
      <c r="E21" s="6"/>
      <c r="F21" s="6"/>
      <c r="G21" s="6"/>
      <c r="H21" s="6"/>
      <c r="I21" s="6"/>
      <c r="J21" s="6"/>
      <c r="K21" s="6"/>
      <c r="L21" s="6"/>
      <c r="M21" s="6"/>
      <c r="N21" s="6"/>
      <c r="O21" s="6"/>
      <c r="P21"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81E34D0-7751-481C-9229-60E97A7FFD35}">
  <ds:schemaRefs/>
</ds:datastoreItem>
</file>

<file path=customXml/itemProps2.xml><?xml version="1.0" encoding="utf-8"?>
<ds:datastoreItem xmlns:ds="http://schemas.openxmlformats.org/officeDocument/2006/customXml" ds:itemID="{E15703DB-436E-4CD1-A9E7-8F680226EFBC}">
  <ds:schemaRefs/>
</ds:datastoreItem>
</file>

<file path=customXml/itemProps3.xml><?xml version="1.0" encoding="utf-8"?>
<ds:datastoreItem xmlns:ds="http://schemas.openxmlformats.org/officeDocument/2006/customXml" ds:itemID="{BCD8EE89-756E-48BE-8820-D13355262E4A}">
  <ds:schemaRefs/>
</ds:datastoreItem>
</file>

<file path=customXml/itemProps4.xml><?xml version="1.0" encoding="utf-8"?>
<ds:datastoreItem xmlns:ds="http://schemas.openxmlformats.org/officeDocument/2006/customXml" ds:itemID="{D7B56886-1BA1-4F21-A173-6FE40BA12C00}">
  <ds:schemaRefs/>
</ds:datastoreItem>
</file>

<file path=customXml/itemProps5.xml><?xml version="1.0" encoding="utf-8"?>
<ds:datastoreItem xmlns:ds="http://schemas.openxmlformats.org/officeDocument/2006/customXml" ds:itemID="{89A7F211-9D4B-4478-8C91-541DD6F5B1C8}">
  <ds:schemaRefs/>
</ds:datastoreItem>
</file>

<file path=customXml/itemProps6.xml><?xml version="1.0" encoding="utf-8"?>
<ds:datastoreItem xmlns:ds="http://schemas.openxmlformats.org/officeDocument/2006/customXml" ds:itemID="{F9BB5407-4ADE-477F-AAB8-97235F86688E}">
  <ds:schemaRefs/>
</ds:datastoreItem>
</file>

<file path=customXml/itemProps7.xml><?xml version="1.0" encoding="utf-8"?>
<ds:datastoreItem xmlns:ds="http://schemas.openxmlformats.org/officeDocument/2006/customXml" ds:itemID="{3925E110-2D01-4011-96D7-E0CCA2899024}">
  <ds:schemaRefs>
    <ds:schemaRef ds:uri="http://schemas.microsoft.com/DataMashup"/>
  </ds:schemaRefs>
</ds:datastoreItem>
</file>

<file path=customXml/itemProps8.xml><?xml version="1.0" encoding="utf-8"?>
<ds:datastoreItem xmlns:ds="http://schemas.openxmlformats.org/officeDocument/2006/customXml" ds:itemID="{76CC0420-1507-4F82-B2A3-798463801048}">
  <ds:schemaRefs/>
</ds:datastoreItem>
</file>

<file path=customXml/itemProps9.xml><?xml version="1.0" encoding="utf-8"?>
<ds:datastoreItem xmlns:ds="http://schemas.openxmlformats.org/officeDocument/2006/customXml" ds:itemID="{738431F3-61E5-4C3B-865A-13EC7EE18503}">
  <ds:schemaRefs/>
</ds:datastoreItem>
</file>

<file path=customXml/itemProps10.xml><?xml version="1.0" encoding="utf-8"?>
<ds:datastoreItem xmlns:ds="http://schemas.openxmlformats.org/officeDocument/2006/customXml" ds:itemID="{6A28C190-086C-474E-AA53-5B899EC16837}">
  <ds:schemaRefs/>
</ds:datastoreItem>
</file>

<file path=customXml/itemProps11.xml><?xml version="1.0" encoding="utf-8"?>
<ds:datastoreItem xmlns:ds="http://schemas.openxmlformats.org/officeDocument/2006/customXml" ds:itemID="{1DDBB4D3-A1C0-47B0-AEE0-525B3228DEFC}">
  <ds:schemaRefs/>
</ds:datastoreItem>
</file>

<file path=customXml/itemProps12.xml><?xml version="1.0" encoding="utf-8"?>
<ds:datastoreItem xmlns:ds="http://schemas.openxmlformats.org/officeDocument/2006/customXml" ds:itemID="{ED098D23-2023-4A2A-B6CC-EC43E8FF0791}">
  <ds:schemaRefs/>
</ds:datastoreItem>
</file>

<file path=customXml/itemProps13.xml><?xml version="1.0" encoding="utf-8"?>
<ds:datastoreItem xmlns:ds="http://schemas.openxmlformats.org/officeDocument/2006/customXml" ds:itemID="{FFD6F400-3BCB-4459-A90B-C3052559DECD}">
  <ds:schemaRefs/>
</ds:datastoreItem>
</file>

<file path=customXml/itemProps14.xml><?xml version="1.0" encoding="utf-8"?>
<ds:datastoreItem xmlns:ds="http://schemas.openxmlformats.org/officeDocument/2006/customXml" ds:itemID="{D31DC385-87F0-43CE-BEED-A6511CF5D99A}">
  <ds:schemaRefs/>
</ds:datastoreItem>
</file>

<file path=customXml/itemProps15.xml><?xml version="1.0" encoding="utf-8"?>
<ds:datastoreItem xmlns:ds="http://schemas.openxmlformats.org/officeDocument/2006/customXml" ds:itemID="{8DCABF91-5D62-4640-94E8-BEF2F345058C}">
  <ds:schemaRefs/>
</ds:datastoreItem>
</file>

<file path=customXml/itemProps16.xml><?xml version="1.0" encoding="utf-8"?>
<ds:datastoreItem xmlns:ds="http://schemas.openxmlformats.org/officeDocument/2006/customXml" ds:itemID="{3D955146-A204-414E-80D0-A5160148898D}">
  <ds:schemaRefs/>
</ds:datastoreItem>
</file>

<file path=customXml/itemProps17.xml><?xml version="1.0" encoding="utf-8"?>
<ds:datastoreItem xmlns:ds="http://schemas.openxmlformats.org/officeDocument/2006/customXml" ds:itemID="{4988A62F-4E3C-44A6-97B6-EB47869ECED7}">
  <ds:schemaRefs/>
</ds:datastoreItem>
</file>

<file path=customXml/itemProps18.xml><?xml version="1.0" encoding="utf-8"?>
<ds:datastoreItem xmlns:ds="http://schemas.openxmlformats.org/officeDocument/2006/customXml" ds:itemID="{D5766234-2FED-42EF-B15F-B10C253D03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Avg Wait Time Daily Trend</vt:lpstr>
      <vt:lpstr>Daily ER No. Of Patients</vt:lpstr>
      <vt:lpstr>Satisfaction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MISHRA</dc:creator>
  <cp:lastModifiedBy>ANANYA MISHRA</cp:lastModifiedBy>
  <dcterms:created xsi:type="dcterms:W3CDTF">2026-04-08T07:02:17Z</dcterms:created>
  <dcterms:modified xsi:type="dcterms:W3CDTF">2026-04-08T13:15:40Z</dcterms:modified>
</cp:coreProperties>
</file>